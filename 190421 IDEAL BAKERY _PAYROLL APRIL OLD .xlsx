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90" yWindow="-90" windowWidth="19380" windowHeight="10380" tabRatio="767" activeTab="7"/>
  </bookViews>
  <sheets>
    <sheet name="Monthly" sheetId="1" r:id="rId1"/>
    <sheet name="Union Dues" sheetId="16" r:id="rId2"/>
    <sheet name="3rdParty" sheetId="5" state="hidden" r:id="rId3"/>
    <sheet name="PAYE" sheetId="13" r:id="rId4"/>
    <sheet name="NIS" sheetId="12" r:id="rId5"/>
    <sheet name="Journal" sheetId="15" r:id="rId6"/>
    <sheet name="Third Party Control" sheetId="9" r:id="rId7"/>
    <sheet name="Pay slips" sheetId="7" r:id="rId8"/>
  </sheets>
  <definedNames>
    <definedName name="_xlnm._FilterDatabase" localSheetId="0" hidden="1">Monthly!$A$8:$AL$52</definedName>
    <definedName name="_xlnm.Print_Area" localSheetId="2">'3rdParty'!$A$1:$CX$71</definedName>
    <definedName name="_xlnm.Print_Area" localSheetId="5">Journal!$A$1:$D$33</definedName>
    <definedName name="_xlnm.Print_Area" localSheetId="0">Monthly!$A$1:$S$29</definedName>
    <definedName name="_xlnm.Print_Area" localSheetId="4">NIS!$A$1:$E$31</definedName>
    <definedName name="_xlnm.Print_Area" localSheetId="7">'Pay slips'!$B$1:$G$846</definedName>
    <definedName name="_xlnm.Print_Area" localSheetId="3">PAYE!$A$1:$C$25</definedName>
    <definedName name="_xlnm.Print_Area" localSheetId="6">'Third Party Control'!$A$1:$C$25</definedName>
    <definedName name="_xlnm.Print_Titles" localSheetId="2">'3rdParty'!$A:$A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7" l="1"/>
  <c r="C51" i="7"/>
  <c r="D59" i="7"/>
  <c r="F59" i="7"/>
  <c r="D60" i="7"/>
  <c r="F60" i="7"/>
  <c r="D61" i="7"/>
  <c r="F61" i="7"/>
  <c r="D62" i="7"/>
  <c r="F62" i="7"/>
  <c r="F63" i="7"/>
  <c r="D65" i="7"/>
  <c r="F65" i="7"/>
  <c r="D68" i="7"/>
  <c r="B27" i="7"/>
  <c r="C27" i="7"/>
  <c r="D35" i="7"/>
  <c r="F35" i="7"/>
  <c r="D36" i="7"/>
  <c r="F36" i="7"/>
  <c r="D37" i="7"/>
  <c r="F37" i="7"/>
  <c r="D38" i="7"/>
  <c r="F38" i="7"/>
  <c r="F39" i="7"/>
  <c r="D41" i="7"/>
  <c r="F41" i="7"/>
  <c r="D44" i="7"/>
  <c r="F326" i="7" l="1"/>
  <c r="F325" i="7"/>
  <c r="F324" i="7"/>
  <c r="F323" i="7"/>
  <c r="D326" i="7"/>
  <c r="D325" i="7"/>
  <c r="D324" i="7"/>
  <c r="D323" i="7"/>
  <c r="B315" i="7"/>
  <c r="F302" i="7"/>
  <c r="F301" i="7"/>
  <c r="F300" i="7"/>
  <c r="F299" i="7"/>
  <c r="D302" i="7"/>
  <c r="D301" i="7"/>
  <c r="D300" i="7"/>
  <c r="D299" i="7"/>
  <c r="B291" i="7"/>
  <c r="F278" i="7"/>
  <c r="F277" i="7"/>
  <c r="F276" i="7"/>
  <c r="F275" i="7"/>
  <c r="D278" i="7"/>
  <c r="D277" i="7"/>
  <c r="D276" i="7"/>
  <c r="D275" i="7"/>
  <c r="B267" i="7"/>
  <c r="F254" i="7"/>
  <c r="F253" i="7"/>
  <c r="F252" i="7"/>
  <c r="F251" i="7"/>
  <c r="D254" i="7"/>
  <c r="D253" i="7"/>
  <c r="D252" i="7"/>
  <c r="D251" i="7"/>
  <c r="B243" i="7"/>
  <c r="F230" i="7"/>
  <c r="F229" i="7"/>
  <c r="F228" i="7"/>
  <c r="F227" i="7"/>
  <c r="D230" i="7"/>
  <c r="D229" i="7"/>
  <c r="D228" i="7"/>
  <c r="D227" i="7"/>
  <c r="B219" i="7"/>
  <c r="F206" i="7"/>
  <c r="F205" i="7"/>
  <c r="F204" i="7"/>
  <c r="F203" i="7"/>
  <c r="D206" i="7"/>
  <c r="D205" i="7"/>
  <c r="D204" i="7"/>
  <c r="D203" i="7"/>
  <c r="B195" i="7"/>
  <c r="F182" i="7"/>
  <c r="F181" i="7"/>
  <c r="F180" i="7"/>
  <c r="F179" i="7"/>
  <c r="D182" i="7"/>
  <c r="D181" i="7"/>
  <c r="D180" i="7"/>
  <c r="D179" i="7"/>
  <c r="B171" i="7"/>
  <c r="F158" i="7"/>
  <c r="F157" i="7"/>
  <c r="F156" i="7"/>
  <c r="F155" i="7"/>
  <c r="D158" i="7"/>
  <c r="D157" i="7"/>
  <c r="D156" i="7"/>
  <c r="D155" i="7"/>
  <c r="B147" i="7"/>
  <c r="F134" i="7"/>
  <c r="F133" i="7"/>
  <c r="F132" i="7"/>
  <c r="F131" i="7"/>
  <c r="D134" i="7"/>
  <c r="D133" i="7"/>
  <c r="D132" i="7"/>
  <c r="D131" i="7"/>
  <c r="B123" i="7"/>
  <c r="F110" i="7"/>
  <c r="F109" i="7"/>
  <c r="F108" i="7"/>
  <c r="F107" i="7"/>
  <c r="D110" i="7"/>
  <c r="D109" i="7"/>
  <c r="D108" i="7"/>
  <c r="D107" i="7"/>
  <c r="B99" i="7"/>
  <c r="F86" i="7"/>
  <c r="F85" i="7"/>
  <c r="F84" i="7"/>
  <c r="F83" i="7"/>
  <c r="D86" i="7"/>
  <c r="D85" i="7"/>
  <c r="D84" i="7"/>
  <c r="D83" i="7"/>
  <c r="B75" i="7"/>
  <c r="F473" i="7"/>
  <c r="D473" i="7"/>
  <c r="F472" i="7"/>
  <c r="D472" i="7"/>
  <c r="F471" i="7"/>
  <c r="D471" i="7"/>
  <c r="F470" i="7"/>
  <c r="D470" i="7"/>
  <c r="F449" i="7"/>
  <c r="D449" i="7"/>
  <c r="F448" i="7"/>
  <c r="D448" i="7"/>
  <c r="F447" i="7"/>
  <c r="D447" i="7"/>
  <c r="F446" i="7"/>
  <c r="D446" i="7"/>
  <c r="F422" i="7"/>
  <c r="D422" i="7"/>
  <c r="F421" i="7"/>
  <c r="D421" i="7"/>
  <c r="F420" i="7"/>
  <c r="D420" i="7"/>
  <c r="F419" i="7"/>
  <c r="D419" i="7"/>
  <c r="F398" i="7"/>
  <c r="D398" i="7"/>
  <c r="F397" i="7"/>
  <c r="D397" i="7"/>
  <c r="F396" i="7"/>
  <c r="D396" i="7"/>
  <c r="F395" i="7"/>
  <c r="D395" i="7"/>
  <c r="F374" i="7"/>
  <c r="D374" i="7"/>
  <c r="F373" i="7"/>
  <c r="D373" i="7"/>
  <c r="F372" i="7"/>
  <c r="D372" i="7"/>
  <c r="F371" i="7"/>
  <c r="D371" i="7"/>
  <c r="F350" i="7"/>
  <c r="D350" i="7"/>
  <c r="F349" i="7"/>
  <c r="D349" i="7"/>
  <c r="F348" i="7"/>
  <c r="D348" i="7"/>
  <c r="F347" i="7"/>
  <c r="D347" i="7"/>
  <c r="F14" i="7"/>
  <c r="F13" i="7"/>
  <c r="F12" i="7"/>
  <c r="F11" i="7"/>
  <c r="D14" i="7"/>
  <c r="D13" i="7"/>
  <c r="D12" i="7"/>
  <c r="D11" i="7"/>
  <c r="B3" i="7"/>
  <c r="D29" i="15"/>
  <c r="D28" i="15"/>
  <c r="D27" i="15"/>
  <c r="C24" i="15"/>
  <c r="C23" i="15"/>
  <c r="C22" i="15"/>
  <c r="C21" i="15"/>
  <c r="C20" i="15"/>
  <c r="C18" i="15"/>
  <c r="C17" i="15"/>
  <c r="C16" i="15"/>
  <c r="C15" i="15"/>
  <c r="C14" i="15"/>
  <c r="C12" i="15"/>
  <c r="C11" i="15"/>
  <c r="C10" i="15"/>
  <c r="C9" i="15"/>
  <c r="C8" i="15"/>
  <c r="M37" i="1"/>
  <c r="E31" i="12"/>
  <c r="D31" i="12"/>
  <c r="C31" i="12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4" i="16"/>
  <c r="C27" i="9"/>
  <c r="C19" i="9"/>
  <c r="C20" i="9"/>
  <c r="C21" i="9"/>
  <c r="C22" i="9"/>
  <c r="C17" i="9"/>
  <c r="C18" i="9"/>
  <c r="C9" i="9"/>
  <c r="C24" i="9" s="1"/>
  <c r="C10" i="9"/>
  <c r="C11" i="9"/>
  <c r="C12" i="9"/>
  <c r="C13" i="9"/>
  <c r="C14" i="9"/>
  <c r="C15" i="9"/>
  <c r="C16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C18" i="13"/>
  <c r="C19" i="13"/>
  <c r="C20" i="13"/>
  <c r="C21" i="13"/>
  <c r="C16" i="13"/>
  <c r="C17" i="13"/>
  <c r="C8" i="13"/>
  <c r="C9" i="13"/>
  <c r="C10" i="13"/>
  <c r="C24" i="13" s="1"/>
  <c r="C11" i="13"/>
  <c r="C12" i="13"/>
  <c r="C13" i="13"/>
  <c r="C14" i="13"/>
  <c r="C15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K37" i="1"/>
  <c r="P26" i="1"/>
  <c r="P25" i="1"/>
  <c r="P24" i="1"/>
  <c r="O27" i="1"/>
  <c r="N27" i="1"/>
  <c r="M27" i="1"/>
  <c r="L27" i="1"/>
  <c r="K27" i="1"/>
  <c r="J27" i="1"/>
  <c r="J32" i="1" s="1"/>
  <c r="I27" i="1"/>
  <c r="I32" i="1" s="1"/>
  <c r="H27" i="1"/>
  <c r="H32" i="1" s="1"/>
  <c r="Q21" i="1"/>
  <c r="Q31" i="1" s="1"/>
  <c r="P21" i="1"/>
  <c r="P31" i="1" s="1"/>
  <c r="O21" i="1"/>
  <c r="O31" i="1" s="1"/>
  <c r="N21" i="1"/>
  <c r="M21" i="1"/>
  <c r="L21" i="1"/>
  <c r="L31" i="1" s="1"/>
  <c r="K21" i="1"/>
  <c r="J21" i="1"/>
  <c r="I21" i="1"/>
  <c r="I31" i="1" s="1"/>
  <c r="H21" i="1"/>
  <c r="H31" i="1" s="1"/>
  <c r="O17" i="1"/>
  <c r="N17" i="1"/>
  <c r="N30" i="1" s="1"/>
  <c r="M17" i="1"/>
  <c r="L17" i="1"/>
  <c r="L30" i="1" s="1"/>
  <c r="K17" i="1"/>
  <c r="K30" i="1" s="1"/>
  <c r="J17" i="1"/>
  <c r="J30" i="1" s="1"/>
  <c r="I17" i="1"/>
  <c r="H17" i="1"/>
  <c r="O32" i="1"/>
  <c r="N32" i="1"/>
  <c r="M32" i="1"/>
  <c r="L32" i="1"/>
  <c r="K32" i="1"/>
  <c r="N31" i="1"/>
  <c r="M31" i="1"/>
  <c r="K31" i="1"/>
  <c r="J31" i="1"/>
  <c r="O30" i="1"/>
  <c r="M30" i="1"/>
  <c r="I30" i="1"/>
  <c r="H30" i="1"/>
  <c r="E24" i="12"/>
  <c r="D26" i="12"/>
  <c r="D25" i="12"/>
  <c r="D24" i="12"/>
  <c r="D23" i="12"/>
  <c r="D27" i="12" s="1"/>
  <c r="C26" i="12"/>
  <c r="E26" i="12" s="1"/>
  <c r="C25" i="12"/>
  <c r="E25" i="12" s="1"/>
  <c r="C24" i="12"/>
  <c r="C23" i="12"/>
  <c r="C27" i="12" s="1"/>
  <c r="A26" i="12"/>
  <c r="A25" i="12"/>
  <c r="A24" i="12"/>
  <c r="A23" i="12"/>
  <c r="D19" i="12"/>
  <c r="D18" i="12"/>
  <c r="D20" i="12" s="1"/>
  <c r="C18" i="12"/>
  <c r="C20" i="12" s="1"/>
  <c r="C19" i="12"/>
  <c r="E10" i="12"/>
  <c r="E13" i="12"/>
  <c r="E14" i="12"/>
  <c r="D8" i="12"/>
  <c r="D9" i="12"/>
  <c r="D10" i="12"/>
  <c r="D11" i="12"/>
  <c r="D12" i="12"/>
  <c r="D13" i="12"/>
  <c r="D14" i="12"/>
  <c r="C8" i="12"/>
  <c r="E8" i="12" s="1"/>
  <c r="C9" i="12"/>
  <c r="E9" i="12" s="1"/>
  <c r="C10" i="12"/>
  <c r="C11" i="12"/>
  <c r="E11" i="12" s="1"/>
  <c r="C12" i="12"/>
  <c r="E12" i="12" s="1"/>
  <c r="C13" i="12"/>
  <c r="C14" i="12"/>
  <c r="C7" i="12"/>
  <c r="C15" i="12" s="1"/>
  <c r="D7" i="12"/>
  <c r="D15" i="12" s="1"/>
  <c r="A13" i="12"/>
  <c r="A14" i="12"/>
  <c r="A12" i="12"/>
  <c r="A11" i="12"/>
  <c r="A10" i="12"/>
  <c r="A9" i="12"/>
  <c r="A8" i="12"/>
  <c r="A7" i="12"/>
  <c r="A6" i="12"/>
  <c r="W26" i="1"/>
  <c r="W24" i="1"/>
  <c r="Z24" i="1" s="1"/>
  <c r="U26" i="1"/>
  <c r="U24" i="1"/>
  <c r="W12" i="1"/>
  <c r="Z12" i="1" s="1"/>
  <c r="U12" i="1"/>
  <c r="N29" i="1"/>
  <c r="M29" i="1"/>
  <c r="K29" i="1"/>
  <c r="J29" i="1"/>
  <c r="I29" i="1"/>
  <c r="H29" i="1"/>
  <c r="Q22" i="1"/>
  <c r="M24" i="1"/>
  <c r="M26" i="1"/>
  <c r="M15" i="1"/>
  <c r="M9" i="1"/>
  <c r="M10" i="1"/>
  <c r="M12" i="1"/>
  <c r="M8" i="1"/>
  <c r="L15" i="1"/>
  <c r="Z15" i="1"/>
  <c r="Y15" i="1"/>
  <c r="X15" i="1"/>
  <c r="A32" i="1"/>
  <c r="A31" i="1"/>
  <c r="A30" i="1"/>
  <c r="K24" i="1"/>
  <c r="K25" i="1"/>
  <c r="K26" i="1"/>
  <c r="G27" i="1"/>
  <c r="G32" i="1" s="1"/>
  <c r="G21" i="1"/>
  <c r="G31" i="1" s="1"/>
  <c r="K11" i="1"/>
  <c r="K12" i="1"/>
  <c r="K13" i="1"/>
  <c r="K14" i="1"/>
  <c r="K15" i="1"/>
  <c r="G17" i="1"/>
  <c r="G30" i="1" s="1"/>
  <c r="E23" i="12" l="1"/>
  <c r="E27" i="12" s="1"/>
  <c r="C24" i="16"/>
  <c r="O33" i="1"/>
  <c r="H33" i="1"/>
  <c r="N33" i="1"/>
  <c r="D30" i="15" s="1"/>
  <c r="X24" i="1"/>
  <c r="AB24" i="1" s="1"/>
  <c r="Y24" i="1"/>
  <c r="AB12" i="1"/>
  <c r="L12" i="1" s="1"/>
  <c r="P12" i="1" s="1"/>
  <c r="Q12" i="1" s="1"/>
  <c r="X12" i="1"/>
  <c r="Y12" i="1"/>
  <c r="P15" i="1"/>
  <c r="Q15" i="1" s="1"/>
  <c r="G29" i="1"/>
  <c r="G33" i="1"/>
  <c r="K9" i="1" l="1"/>
  <c r="U9" i="1"/>
  <c r="K10" i="1"/>
  <c r="U10" i="1"/>
  <c r="U13" i="1"/>
  <c r="K19" i="1"/>
  <c r="K23" i="1"/>
  <c r="U23" i="1"/>
  <c r="U25" i="1"/>
  <c r="F740" i="7"/>
  <c r="U8" i="1"/>
  <c r="K8" i="1"/>
  <c r="AL20" i="1"/>
  <c r="F596" i="7"/>
  <c r="D837" i="7"/>
  <c r="D814" i="7"/>
  <c r="D789" i="7"/>
  <c r="D765" i="7"/>
  <c r="D716" i="7"/>
  <c r="D692" i="7"/>
  <c r="D668" i="7"/>
  <c r="D813" i="7"/>
  <c r="F879" i="7"/>
  <c r="D879" i="7"/>
  <c r="D885" i="7" s="1"/>
  <c r="B871" i="7"/>
  <c r="A4" i="9"/>
  <c r="D860" i="7"/>
  <c r="F839" i="7"/>
  <c r="F838" i="7"/>
  <c r="F837" i="7"/>
  <c r="F815" i="7"/>
  <c r="F814" i="7"/>
  <c r="F813" i="7"/>
  <c r="F791" i="7"/>
  <c r="F790" i="7"/>
  <c r="F789" i="7"/>
  <c r="F767" i="7"/>
  <c r="F766" i="7"/>
  <c r="F765" i="7"/>
  <c r="F742" i="7"/>
  <c r="F741" i="7"/>
  <c r="F718" i="7"/>
  <c r="F717" i="7"/>
  <c r="F716" i="7"/>
  <c r="F694" i="7"/>
  <c r="F693" i="7"/>
  <c r="F692" i="7"/>
  <c r="F670" i="7"/>
  <c r="F669" i="7"/>
  <c r="F668" i="7"/>
  <c r="F646" i="7"/>
  <c r="F645" i="7"/>
  <c r="F644" i="7"/>
  <c r="F622" i="7"/>
  <c r="F621" i="7"/>
  <c r="F620" i="7"/>
  <c r="F598" i="7"/>
  <c r="D859" i="7"/>
  <c r="D861" i="7"/>
  <c r="D570" i="7"/>
  <c r="D576" i="7" s="1"/>
  <c r="D571" i="7"/>
  <c r="D547" i="7"/>
  <c r="B851" i="7"/>
  <c r="AF21" i="1"/>
  <c r="D836" i="7"/>
  <c r="D835" i="7"/>
  <c r="D841" i="7" s="1"/>
  <c r="B827" i="7"/>
  <c r="D812" i="7"/>
  <c r="D811" i="7"/>
  <c r="D817" i="7" s="1"/>
  <c r="B803" i="7"/>
  <c r="D788" i="7"/>
  <c r="D787" i="7"/>
  <c r="D793" i="7" s="1"/>
  <c r="B779" i="7"/>
  <c r="D764" i="7"/>
  <c r="D763" i="7"/>
  <c r="D769" i="7" s="1"/>
  <c r="B755" i="7"/>
  <c r="D739" i="7"/>
  <c r="D738" i="7"/>
  <c r="B730" i="7"/>
  <c r="D715" i="7"/>
  <c r="D714" i="7"/>
  <c r="D720" i="7" s="1"/>
  <c r="B706" i="7"/>
  <c r="D691" i="7"/>
  <c r="D690" i="7"/>
  <c r="D696" i="7" s="1"/>
  <c r="B682" i="7"/>
  <c r="D667" i="7"/>
  <c r="D666" i="7"/>
  <c r="D672" i="7" s="1"/>
  <c r="B658" i="7"/>
  <c r="D643" i="7"/>
  <c r="D642" i="7"/>
  <c r="D648" i="7" s="1"/>
  <c r="B634" i="7"/>
  <c r="D618" i="7"/>
  <c r="B610" i="7"/>
  <c r="F597" i="7"/>
  <c r="D594" i="7"/>
  <c r="B586" i="7"/>
  <c r="D882" i="7"/>
  <c r="C871" i="7"/>
  <c r="D862" i="7"/>
  <c r="C851" i="7"/>
  <c r="D838" i="7"/>
  <c r="C827" i="7"/>
  <c r="C803" i="7"/>
  <c r="D790" i="7"/>
  <c r="C779" i="7"/>
  <c r="D766" i="7"/>
  <c r="C755" i="7"/>
  <c r="D741" i="7"/>
  <c r="C730" i="7"/>
  <c r="D717" i="7"/>
  <c r="C706" i="7"/>
  <c r="D693" i="7"/>
  <c r="C682" i="7"/>
  <c r="D669" i="7"/>
  <c r="C658" i="7"/>
  <c r="D645" i="7"/>
  <c r="C634" i="7"/>
  <c r="D621" i="7"/>
  <c r="D624" i="7" s="1"/>
  <c r="C610" i="7"/>
  <c r="D597" i="7"/>
  <c r="C586" i="7"/>
  <c r="O29" i="1"/>
  <c r="AF19" i="1"/>
  <c r="AF18" i="1"/>
  <c r="AF11" i="1"/>
  <c r="M11" i="1" s="1"/>
  <c r="AL10" i="1"/>
  <c r="W9" i="1"/>
  <c r="F595" i="7"/>
  <c r="F836" i="7"/>
  <c r="F812" i="7"/>
  <c r="F788" i="7"/>
  <c r="F764" i="7"/>
  <c r="F715" i="7"/>
  <c r="F691" i="7"/>
  <c r="F667" i="7"/>
  <c r="F643" i="7"/>
  <c r="AL22" i="1"/>
  <c r="AL19" i="1"/>
  <c r="T22" i="1"/>
  <c r="D496" i="7"/>
  <c r="D502" i="7" s="1"/>
  <c r="D505" i="7" s="1"/>
  <c r="B487" i="7"/>
  <c r="F474" i="7"/>
  <c r="B462" i="7"/>
  <c r="F500" i="7"/>
  <c r="F499" i="7"/>
  <c r="D499" i="7"/>
  <c r="F498" i="7"/>
  <c r="D498" i="7"/>
  <c r="D497" i="7"/>
  <c r="F496" i="7"/>
  <c r="C487" i="7"/>
  <c r="C462" i="7"/>
  <c r="B339" i="7"/>
  <c r="F835" i="7"/>
  <c r="F841" i="7" s="1"/>
  <c r="F666" i="7"/>
  <c r="F672" i="7" s="1"/>
  <c r="D476" i="7"/>
  <c r="F497" i="7"/>
  <c r="F502" i="7"/>
  <c r="F811" i="7"/>
  <c r="F817" i="7" s="1"/>
  <c r="F787" i="7"/>
  <c r="F793" i="7" s="1"/>
  <c r="F763" i="7"/>
  <c r="F769" i="7" s="1"/>
  <c r="F714" i="7"/>
  <c r="F720" i="7" s="1"/>
  <c r="F690" i="7"/>
  <c r="F696" i="7" s="1"/>
  <c r="F642" i="7"/>
  <c r="F648" i="7" s="1"/>
  <c r="F476" i="7"/>
  <c r="D573" i="7"/>
  <c r="D549" i="7"/>
  <c r="U11" i="1"/>
  <c r="F526" i="7"/>
  <c r="F525" i="7"/>
  <c r="F524" i="7"/>
  <c r="F522" i="7"/>
  <c r="D525" i="7"/>
  <c r="D524" i="7"/>
  <c r="D523" i="7"/>
  <c r="D522" i="7"/>
  <c r="B513" i="7"/>
  <c r="F450" i="7"/>
  <c r="B437" i="7"/>
  <c r="C437" i="7"/>
  <c r="C513" i="7"/>
  <c r="F423" i="7"/>
  <c r="B411" i="7"/>
  <c r="F399" i="7"/>
  <c r="B387" i="7"/>
  <c r="F375" i="7"/>
  <c r="B363" i="7"/>
  <c r="C411" i="7"/>
  <c r="C387" i="7"/>
  <c r="C363" i="7"/>
  <c r="C339" i="7"/>
  <c r="B562" i="7"/>
  <c r="D546" i="7"/>
  <c r="D552" i="7" s="1"/>
  <c r="B538" i="7"/>
  <c r="D4" i="15"/>
  <c r="L33" i="1"/>
  <c r="J33" i="1"/>
  <c r="I33" i="1"/>
  <c r="J79" i="15"/>
  <c r="A2" i="12"/>
  <c r="A2" i="13"/>
  <c r="A18" i="12"/>
  <c r="A19" i="12"/>
  <c r="F255" i="7"/>
  <c r="D233" i="7"/>
  <c r="F207" i="7"/>
  <c r="F183" i="7"/>
  <c r="F159" i="7"/>
  <c r="D137" i="7"/>
  <c r="D113" i="7"/>
  <c r="F87" i="7"/>
  <c r="C562" i="7"/>
  <c r="D305" i="7"/>
  <c r="D281" i="7"/>
  <c r="C538" i="7"/>
  <c r="C315" i="7"/>
  <c r="C291" i="7"/>
  <c r="C267" i="7"/>
  <c r="C243" i="7"/>
  <c r="C219" i="7"/>
  <c r="C195" i="7"/>
  <c r="C171" i="7"/>
  <c r="C147" i="7"/>
  <c r="C123" i="7"/>
  <c r="C99" i="7"/>
  <c r="C75" i="7"/>
  <c r="D17" i="7"/>
  <c r="C3" i="7"/>
  <c r="X91" i="5"/>
  <c r="CX55" i="5"/>
  <c r="CS71" i="5"/>
  <c r="CX66" i="5"/>
  <c r="CX63" i="5"/>
  <c r="CX60" i="5"/>
  <c r="CX53" i="5"/>
  <c r="CX48" i="5"/>
  <c r="CX47" i="5"/>
  <c r="CX46" i="5"/>
  <c r="CX45" i="5"/>
  <c r="CX44" i="5"/>
  <c r="CX42" i="5"/>
  <c r="CX41" i="5"/>
  <c r="CX40" i="5"/>
  <c r="CX39" i="5"/>
  <c r="CX36" i="5"/>
  <c r="CX35" i="5"/>
  <c r="CX34" i="5"/>
  <c r="CX31" i="5"/>
  <c r="CX24" i="5"/>
  <c r="CX23" i="5"/>
  <c r="CX21" i="5"/>
  <c r="CX20" i="5"/>
  <c r="CX16" i="5"/>
  <c r="CX14" i="5"/>
  <c r="CX12" i="5"/>
  <c r="AL17" i="1"/>
  <c r="AL23" i="1"/>
  <c r="AL16" i="1"/>
  <c r="AL14" i="1"/>
  <c r="AL13" i="1"/>
  <c r="T91" i="5"/>
  <c r="AY19" i="5"/>
  <c r="CX19" i="5"/>
  <c r="P119" i="5"/>
  <c r="L119" i="5"/>
  <c r="H119" i="5"/>
  <c r="D119" i="5"/>
  <c r="P91" i="5"/>
  <c r="CX70" i="5"/>
  <c r="CV71" i="5"/>
  <c r="CX89" i="5"/>
  <c r="CX90" i="5"/>
  <c r="L91" i="5"/>
  <c r="H91" i="5"/>
  <c r="AF13" i="1"/>
  <c r="M13" i="1" s="1"/>
  <c r="AF14" i="1"/>
  <c r="M14" i="1" s="1"/>
  <c r="AF16" i="1"/>
  <c r="M16" i="1" s="1"/>
  <c r="AF23" i="1"/>
  <c r="M23" i="1" s="1"/>
  <c r="AF17" i="1"/>
  <c r="AF25" i="1"/>
  <c r="CP71" i="5"/>
  <c r="K16" i="1"/>
  <c r="AE38" i="5"/>
  <c r="U14" i="1"/>
  <c r="U16" i="1"/>
  <c r="AU71" i="5"/>
  <c r="CI71" i="5"/>
  <c r="CL71" i="5"/>
  <c r="A2" i="5"/>
  <c r="CF71" i="5"/>
  <c r="CC71" i="5"/>
  <c r="CX103" i="5"/>
  <c r="CX102" i="5"/>
  <c r="CX105" i="5"/>
  <c r="CX114" i="5"/>
  <c r="CX109" i="5"/>
  <c r="CX119" i="5" s="1"/>
  <c r="CX112" i="5"/>
  <c r="CX82" i="5"/>
  <c r="CX88" i="5"/>
  <c r="CX86" i="5"/>
  <c r="CX85" i="5"/>
  <c r="CX79" i="5"/>
  <c r="D91" i="5"/>
  <c r="BC71" i="5"/>
  <c r="BZ71" i="5"/>
  <c r="BW71" i="5"/>
  <c r="BS71" i="5"/>
  <c r="BO71" i="5"/>
  <c r="BK71" i="5"/>
  <c r="BG71" i="5"/>
  <c r="AQ71" i="5"/>
  <c r="AM71" i="5"/>
  <c r="AI71" i="5"/>
  <c r="AA71" i="5"/>
  <c r="X71" i="5"/>
  <c r="T71" i="5"/>
  <c r="P71" i="5"/>
  <c r="L71" i="5"/>
  <c r="H71" i="5"/>
  <c r="D71" i="5"/>
  <c r="AY71" i="5"/>
  <c r="F305" i="7"/>
  <c r="R40" i="1"/>
  <c r="CX91" i="5"/>
  <c r="D353" i="7"/>
  <c r="D528" i="7"/>
  <c r="D401" i="7"/>
  <c r="D377" i="7"/>
  <c r="D425" i="7"/>
  <c r="D452" i="7"/>
  <c r="D329" i="7"/>
  <c r="F547" i="7"/>
  <c r="F552" i="7" s="1"/>
  <c r="F329" i="7"/>
  <c r="F452" i="7"/>
  <c r="F377" i="7"/>
  <c r="D380" i="7" s="1"/>
  <c r="F401" i="7"/>
  <c r="F353" i="7"/>
  <c r="D356" i="7" s="1"/>
  <c r="F233" i="7"/>
  <c r="F17" i="7"/>
  <c r="F137" i="7"/>
  <c r="F425" i="7"/>
  <c r="D428" i="7" s="1"/>
  <c r="D479" i="7" l="1"/>
  <c r="D332" i="7"/>
  <c r="D404" i="7"/>
  <c r="F281" i="7"/>
  <c r="D284" i="7" s="1"/>
  <c r="D555" i="7"/>
  <c r="M19" i="1"/>
  <c r="M25" i="1"/>
  <c r="Z9" i="1"/>
  <c r="Y9" i="1"/>
  <c r="X9" i="1"/>
  <c r="AB9" i="1" s="1"/>
  <c r="D89" i="7"/>
  <c r="D185" i="7"/>
  <c r="D796" i="7"/>
  <c r="D844" i="7"/>
  <c r="W8" i="1"/>
  <c r="W10" i="1"/>
  <c r="D257" i="7"/>
  <c r="D723" i="7"/>
  <c r="D140" i="7"/>
  <c r="D744" i="7"/>
  <c r="D209" i="7"/>
  <c r="D236" i="7"/>
  <c r="D820" i="7"/>
  <c r="D600" i="7"/>
  <c r="D699" i="7"/>
  <c r="D651" i="7"/>
  <c r="D20" i="7"/>
  <c r="D161" i="7"/>
  <c r="D675" i="7"/>
  <c r="D865" i="7"/>
  <c r="W13" i="1"/>
  <c r="D308" i="7"/>
  <c r="D772" i="7"/>
  <c r="D455" i="7"/>
  <c r="V16" i="1"/>
  <c r="F739" i="7"/>
  <c r="W11" i="1"/>
  <c r="W23" i="1"/>
  <c r="F880" i="7"/>
  <c r="F885" i="7" s="1"/>
  <c r="D888" i="7" s="1"/>
  <c r="AE71" i="5"/>
  <c r="CX38" i="5"/>
  <c r="CX71" i="5" s="1"/>
  <c r="F523" i="7"/>
  <c r="F528" i="7" s="1"/>
  <c r="D531" i="7" s="1"/>
  <c r="U20" i="1"/>
  <c r="K20" i="1"/>
  <c r="U19" i="1"/>
  <c r="F619" i="7"/>
  <c r="AF20" i="1"/>
  <c r="Z23" i="1" l="1"/>
  <c r="Y23" i="1"/>
  <c r="X23" i="1"/>
  <c r="W25" i="1"/>
  <c r="M20" i="1"/>
  <c r="W14" i="1"/>
  <c r="Z14" i="1" s="1"/>
  <c r="X8" i="1"/>
  <c r="Y8" i="1"/>
  <c r="Z8" i="1"/>
  <c r="X11" i="1"/>
  <c r="Z11" i="1"/>
  <c r="Y11" i="1"/>
  <c r="Y13" i="1"/>
  <c r="X13" i="1"/>
  <c r="Z13" i="1"/>
  <c r="Z10" i="1"/>
  <c r="Y10" i="1"/>
  <c r="X10" i="1"/>
  <c r="M33" i="1"/>
  <c r="F571" i="7"/>
  <c r="F576" i="7" s="1"/>
  <c r="D579" i="7" s="1"/>
  <c r="E7" i="12"/>
  <c r="E15" i="12" s="1"/>
  <c r="W20" i="1"/>
  <c r="W19" i="1"/>
  <c r="W16" i="1"/>
  <c r="L9" i="1"/>
  <c r="E19" i="12"/>
  <c r="Z25" i="1" l="1"/>
  <c r="AB25" i="1" s="1"/>
  <c r="L25" i="1" s="1"/>
  <c r="Y25" i="1"/>
  <c r="X25" i="1"/>
  <c r="AB23" i="1"/>
  <c r="L23" i="1" s="1"/>
  <c r="X20" i="1"/>
  <c r="Y20" i="1"/>
  <c r="Z20" i="1"/>
  <c r="AB20" i="1" s="1"/>
  <c r="X19" i="1"/>
  <c r="AB19" i="1" s="1"/>
  <c r="Z19" i="1"/>
  <c r="Y19" i="1"/>
  <c r="AB10" i="1"/>
  <c r="L10" i="1" s="1"/>
  <c r="P10" i="1" s="1"/>
  <c r="X14" i="1"/>
  <c r="Y14" i="1"/>
  <c r="AB8" i="1"/>
  <c r="L8" i="1" s="1"/>
  <c r="P9" i="1"/>
  <c r="Q9" i="1" s="1"/>
  <c r="F594" i="7"/>
  <c r="F600" i="7" s="1"/>
  <c r="D603" i="7" s="1"/>
  <c r="AB11" i="1"/>
  <c r="L11" i="1" s="1"/>
  <c r="AB13" i="1"/>
  <c r="L13" i="1" s="1"/>
  <c r="P13" i="1" s="1"/>
  <c r="Q13" i="1" s="1"/>
  <c r="C33" i="15"/>
  <c r="AB14" i="1"/>
  <c r="L14" i="1" s="1"/>
  <c r="P14" i="1" s="1"/>
  <c r="Q14" i="1" s="1"/>
  <c r="Y16" i="1"/>
  <c r="Z16" i="1"/>
  <c r="X16" i="1"/>
  <c r="F618" i="7"/>
  <c r="F624" i="7" s="1"/>
  <c r="D627" i="7" s="1"/>
  <c r="P17" i="1" l="1"/>
  <c r="P30" i="1" s="1"/>
  <c r="K33" i="1"/>
  <c r="Q10" i="1"/>
  <c r="Q17" i="1" s="1"/>
  <c r="Q30" i="1" s="1"/>
  <c r="P8" i="1"/>
  <c r="Q8" i="1" s="1"/>
  <c r="E18" i="12"/>
  <c r="E20" i="12" s="1"/>
  <c r="L19" i="1"/>
  <c r="P11" i="1"/>
  <c r="F113" i="7"/>
  <c r="D116" i="7" s="1"/>
  <c r="L20" i="1"/>
  <c r="AB16" i="1"/>
  <c r="P23" i="1"/>
  <c r="F209" i="7"/>
  <c r="D212" i="7" s="1"/>
  <c r="L24" i="1"/>
  <c r="Q25" i="1"/>
  <c r="F257" i="7"/>
  <c r="D260" i="7" s="1"/>
  <c r="L26" i="1"/>
  <c r="F89" i="7"/>
  <c r="D92" i="7" s="1"/>
  <c r="Q23" i="1" l="1"/>
  <c r="P27" i="1"/>
  <c r="P32" i="1" s="1"/>
  <c r="P33" i="1" s="1"/>
  <c r="F859" i="7"/>
  <c r="F865" i="7" s="1"/>
  <c r="D868" i="7" s="1"/>
  <c r="F738" i="7"/>
  <c r="F744" i="7" s="1"/>
  <c r="D747" i="7" s="1"/>
  <c r="P19" i="1"/>
  <c r="Q19" i="1" s="1"/>
  <c r="Q11" i="1"/>
  <c r="F161" i="7"/>
  <c r="D164" i="7" s="1"/>
  <c r="Q24" i="1"/>
  <c r="L16" i="1"/>
  <c r="P20" i="1"/>
  <c r="Q20" i="1" l="1"/>
  <c r="L29" i="1"/>
  <c r="Q26" i="1"/>
  <c r="Q27" i="1" s="1"/>
  <c r="Q32" i="1" s="1"/>
  <c r="Q33" i="1" s="1"/>
  <c r="D26" i="15" s="1"/>
  <c r="F185" i="7"/>
  <c r="D188" i="7" s="1"/>
  <c r="AB17" i="1"/>
  <c r="P16" i="1"/>
  <c r="P29" i="1" l="1"/>
  <c r="Q16" i="1"/>
  <c r="Q29" i="1" l="1"/>
  <c r="D33" i="15" l="1"/>
</calcChain>
</file>

<file path=xl/comments1.xml><?xml version="1.0" encoding="utf-8"?>
<comments xmlns="http://schemas.openxmlformats.org/spreadsheetml/2006/main">
  <authors>
    <author>ajames</author>
  </authors>
  <commentList>
    <comment ref="R33" authorId="0">
      <text>
        <r>
          <rPr>
            <b/>
            <sz val="9"/>
            <color indexed="81"/>
            <rFont val="Tahoma"/>
            <family val="2"/>
          </rPr>
          <t>ajames:</t>
        </r>
        <r>
          <rPr>
            <sz val="9"/>
            <color indexed="81"/>
            <rFont val="Tahoma"/>
            <family val="2"/>
          </rPr>
          <t xml:space="preserve">
Dominica Third Party
</t>
        </r>
      </text>
    </comment>
  </commentList>
</comments>
</file>

<file path=xl/comments2.xml><?xml version="1.0" encoding="utf-8"?>
<comments xmlns="http://schemas.openxmlformats.org/spreadsheetml/2006/main">
  <authors>
    <author>Trelford Douglas</author>
  </authors>
  <commentList>
    <comment ref="CI31" authorId="0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July 2007 until further notice</t>
        </r>
      </text>
    </comment>
    <comment ref="CV44" authorId="0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To be deposited to # 20263672 SC 20-80-14</t>
        </r>
      </text>
    </comment>
    <comment ref="CI46" authorId="0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Until further notice</t>
        </r>
      </text>
    </comment>
    <comment ref="AI57" authorId="0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$200 wef Feb 2008</t>
        </r>
      </text>
    </comment>
    <comment ref="CF62" authorId="0">
      <text>
        <r>
          <rPr>
            <b/>
            <sz val="8"/>
            <color indexed="81"/>
            <rFont val="Tahoma"/>
            <family val="2"/>
          </rPr>
          <t>Trelford Douglas:</t>
        </r>
        <r>
          <rPr>
            <sz val="8"/>
            <color indexed="81"/>
            <rFont val="Tahoma"/>
            <family val="2"/>
          </rPr>
          <t xml:space="preserve">
For 28 months starting Jun 2009 @$ 450  and 1 month  @ $ 326.51 for a total of $12,926.51 -- Ending Oct 2011</t>
        </r>
      </text>
    </comment>
  </commentList>
</comments>
</file>

<file path=xl/sharedStrings.xml><?xml version="1.0" encoding="utf-8"?>
<sst xmlns="http://schemas.openxmlformats.org/spreadsheetml/2006/main" count="1028" uniqueCount="263">
  <si>
    <t>Product Controller</t>
  </si>
  <si>
    <t>Henry Warner</t>
  </si>
  <si>
    <t>Jefferson Hunter</t>
  </si>
  <si>
    <t>William Sabaroche</t>
  </si>
  <si>
    <t>Basic</t>
  </si>
  <si>
    <t>Salary</t>
  </si>
  <si>
    <t>Housing</t>
  </si>
  <si>
    <t>Allce</t>
  </si>
  <si>
    <t>Other</t>
  </si>
  <si>
    <t>Gross</t>
  </si>
  <si>
    <t>PAYE</t>
  </si>
  <si>
    <t>NIS</t>
  </si>
  <si>
    <t>Total</t>
  </si>
  <si>
    <t>Net</t>
  </si>
  <si>
    <t>Pay</t>
  </si>
  <si>
    <t>Bank</t>
  </si>
  <si>
    <t>Account</t>
  </si>
  <si>
    <t>Number</t>
  </si>
  <si>
    <t>Deduct.</t>
  </si>
  <si>
    <t>Tax</t>
  </si>
  <si>
    <t>Code</t>
  </si>
  <si>
    <t>George De Freitas</t>
  </si>
  <si>
    <t>Malc Graham</t>
  </si>
  <si>
    <t>Max Richards</t>
  </si>
  <si>
    <t>St VINCENT</t>
  </si>
  <si>
    <t>DOMINICA</t>
  </si>
  <si>
    <t>Stephen Bruneau</t>
  </si>
  <si>
    <t>Theodore Augustin</t>
  </si>
  <si>
    <t>Mildred Ochilien</t>
  </si>
  <si>
    <t>Maggie Fadlien</t>
  </si>
  <si>
    <t>Norman Bernard</t>
  </si>
  <si>
    <t>Agatha Inglis</t>
  </si>
  <si>
    <t>Arthur St Hill</t>
  </si>
  <si>
    <t>Cyril Joseph</t>
  </si>
  <si>
    <t>Amateus Camille</t>
  </si>
  <si>
    <t>Theresa Jn Baptiste</t>
  </si>
  <si>
    <t>Paula Joseph</t>
  </si>
  <si>
    <t>Rahjim Albertinie</t>
  </si>
  <si>
    <t>Ernest Lubrin</t>
  </si>
  <si>
    <t>Emran Braville</t>
  </si>
  <si>
    <t>Winston Giddings</t>
  </si>
  <si>
    <t>Rondell Springer</t>
  </si>
  <si>
    <t>St LUCIA</t>
  </si>
  <si>
    <t>Department</t>
  </si>
  <si>
    <t>Job Title</t>
  </si>
  <si>
    <t>Name</t>
  </si>
  <si>
    <t>Product Management</t>
  </si>
  <si>
    <t>Accounts</t>
  </si>
  <si>
    <t>Administration</t>
  </si>
  <si>
    <t>IT</t>
  </si>
  <si>
    <t>Errol Reid</t>
  </si>
  <si>
    <t>Director, Technical Services</t>
  </si>
  <si>
    <t>Tessa Boland</t>
  </si>
  <si>
    <t>Marilyn St Rose</t>
  </si>
  <si>
    <t>Andre Hippolyte</t>
  </si>
  <si>
    <t>Shipping &amp; Customs Broker Sup.</t>
  </si>
  <si>
    <t>Accounts Clerk</t>
  </si>
  <si>
    <t>Office Assistant</t>
  </si>
  <si>
    <t>Network Administrator</t>
  </si>
  <si>
    <t>Martin John</t>
  </si>
  <si>
    <t>Purchasing</t>
  </si>
  <si>
    <t>GRENADA</t>
  </si>
  <si>
    <t>Eardley Barrett</t>
  </si>
  <si>
    <t>Purchasing &amp; Logistics Manager</t>
  </si>
  <si>
    <t>Bank of Nova Scotia</t>
  </si>
  <si>
    <t>RBTT Bank</t>
  </si>
  <si>
    <t>Royal Bank of Canada</t>
  </si>
  <si>
    <t>Loan</t>
  </si>
  <si>
    <t>Bank of St Lucia Ltd</t>
  </si>
  <si>
    <t>Vincent Breen</t>
  </si>
  <si>
    <t>Amount</t>
  </si>
  <si>
    <t>National Farmers Co-operative Credit Union</t>
  </si>
  <si>
    <t>Vincent Sobers</t>
  </si>
  <si>
    <t>Angus McIntyre</t>
  </si>
  <si>
    <t>Acct No</t>
  </si>
  <si>
    <t>Location</t>
  </si>
  <si>
    <t>Castries</t>
  </si>
  <si>
    <t>1005226</t>
  </si>
  <si>
    <t>Vieux Fort</t>
  </si>
  <si>
    <t>Caribbean Banking Corporation (RBTT Bank)</t>
  </si>
  <si>
    <t>First National Bank of St Lucia</t>
  </si>
  <si>
    <t>Bank of Nova Scotia for Capital Life</t>
  </si>
  <si>
    <t>335690</t>
  </si>
  <si>
    <t>First Caribbean International Bank (Barclays)</t>
  </si>
  <si>
    <t>First Caribbean International Bank (Barclays) for American Life Insurance</t>
  </si>
  <si>
    <t>First Caribbean International Bank (Barclays) for Barbados Mutal Life</t>
  </si>
  <si>
    <t>106394274</t>
  </si>
  <si>
    <t>1116825</t>
  </si>
  <si>
    <t>First Caribbean International Bank (Barclays) for Colonial Life Insurance</t>
  </si>
  <si>
    <t>1365310</t>
  </si>
  <si>
    <t>First Caribbean International Bank (CIBC)</t>
  </si>
  <si>
    <t>26826067</t>
  </si>
  <si>
    <t>901034416</t>
  </si>
  <si>
    <t>Nat Housing Auth</t>
  </si>
  <si>
    <t>3rd Party</t>
  </si>
  <si>
    <t>FICS</t>
  </si>
  <si>
    <t>Sagicor</t>
  </si>
  <si>
    <t>National Workers Union</t>
  </si>
  <si>
    <t>Demerara As Society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</si>
  <si>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</si>
  <si>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</si>
  <si>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</si>
  <si>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</si>
  <si>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</si>
  <si>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</si>
  <si>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</si>
  <si>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</si>
  <si>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</si>
  <si>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</si>
  <si>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</si>
  <si>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</si>
  <si>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</si>
  <si>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</si>
  <si>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</si>
  <si>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</si>
  <si>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</si>
  <si>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</si>
  <si>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All'ces</t>
  </si>
  <si>
    <t>Gross Earnings</t>
  </si>
  <si>
    <t>Net Earnings</t>
  </si>
  <si>
    <t>TAX CALCULATION</t>
  </si>
  <si>
    <t>Tax Payable</t>
  </si>
  <si>
    <t>EC$</t>
  </si>
  <si>
    <t>Freemont Lawrence</t>
  </si>
  <si>
    <t>Cleaner</t>
  </si>
  <si>
    <t>Technical Services</t>
  </si>
  <si>
    <t>Shipping</t>
  </si>
  <si>
    <t>11-7317928</t>
  </si>
  <si>
    <t>St Vincent Building &amp; Loan Association</t>
  </si>
  <si>
    <t>St Lucia Civil Service Co-op Credit Union</t>
  </si>
  <si>
    <t>National Commercial Bank of Dominica (Roseau)</t>
  </si>
  <si>
    <t>The Mutual Finance Inc.</t>
  </si>
  <si>
    <t>100504791</t>
  </si>
  <si>
    <t>Adj TA</t>
  </si>
  <si>
    <t>for NIS</t>
  </si>
  <si>
    <t>Olson Pindar</t>
  </si>
  <si>
    <t>British American Insuarnce Company Limited</t>
  </si>
  <si>
    <t>Mahala Andre</t>
  </si>
  <si>
    <t>Accountant General</t>
  </si>
  <si>
    <t>104222571</t>
  </si>
  <si>
    <t>1696-01</t>
  </si>
  <si>
    <t>Nicole Alleyne</t>
  </si>
  <si>
    <t>930341092</t>
  </si>
  <si>
    <t>Laborie Co-operative Credit Union</t>
  </si>
  <si>
    <t>412002352</t>
  </si>
  <si>
    <t>0107241649</t>
  </si>
  <si>
    <t>BOSLVieux Fort</t>
  </si>
  <si>
    <t>Cuthbert Joseph</t>
  </si>
  <si>
    <t>11-7362734</t>
  </si>
  <si>
    <t>150600031</t>
  </si>
  <si>
    <t>Y</t>
  </si>
  <si>
    <t>Inland Revenue Department</t>
  </si>
  <si>
    <t>Date of Birth</t>
  </si>
  <si>
    <t>Gratuity</t>
  </si>
  <si>
    <t>FASTCASH</t>
  </si>
  <si>
    <t>106785035</t>
  </si>
  <si>
    <t>Imran Shipley</t>
  </si>
  <si>
    <t>SAGICOR</t>
  </si>
  <si>
    <t>Joyce d'Auvergne</t>
  </si>
  <si>
    <t>113507</t>
  </si>
  <si>
    <t>Coleen Tommy</t>
  </si>
  <si>
    <t>02258</t>
  </si>
  <si>
    <t>General Employees Co-operative Credit Union Ltd</t>
  </si>
  <si>
    <t>6004325</t>
  </si>
  <si>
    <t>Rodney Bay</t>
  </si>
  <si>
    <t>913882000</t>
  </si>
  <si>
    <t>Bridge Street</t>
  </si>
  <si>
    <t>UK</t>
  </si>
  <si>
    <t>National Development Foundation of Dominica (NDFD)</t>
  </si>
  <si>
    <t>18003-000-000-24207</t>
  </si>
  <si>
    <t>Choiseul Co-operativeCredit Union</t>
  </si>
  <si>
    <t>4121027171</t>
  </si>
  <si>
    <t>BOSL</t>
  </si>
  <si>
    <t>919406000</t>
  </si>
  <si>
    <t>Waterfront, Castries</t>
  </si>
  <si>
    <t>05432</t>
  </si>
  <si>
    <t>Auto Trade Limited</t>
  </si>
  <si>
    <t>909513000</t>
  </si>
  <si>
    <t>CMMB</t>
  </si>
  <si>
    <t>St Lucia Civil Service
Association</t>
  </si>
  <si>
    <t>Winfresh Limited</t>
  </si>
  <si>
    <t>Roseau Co-operative Credit Union Ltd</t>
  </si>
  <si>
    <t>St Lucia Teachers' Co-operative Credit Union</t>
  </si>
  <si>
    <t>Guyana &amp; Trinidad Mutual Life Ins Co Ltd</t>
  </si>
  <si>
    <t>EMPLOYEE NAME</t>
  </si>
  <si>
    <t>PAYROLL DATE</t>
  </si>
  <si>
    <t>PAYMENTS</t>
  </si>
  <si>
    <t>DEDUCTIONS</t>
  </si>
  <si>
    <t>Transport</t>
  </si>
  <si>
    <t>Third Party</t>
  </si>
  <si>
    <t>Group Med Ins</t>
  </si>
  <si>
    <t>GrosPay</t>
  </si>
  <si>
    <t>Total Deductions</t>
  </si>
  <si>
    <t>NET PAY</t>
  </si>
  <si>
    <t>NIS Schedule</t>
  </si>
  <si>
    <t xml:space="preserve">Name </t>
  </si>
  <si>
    <t>NIS No.</t>
  </si>
  <si>
    <t>PAYE Schedule</t>
  </si>
  <si>
    <t xml:space="preserve">Tax Code </t>
  </si>
  <si>
    <t xml:space="preserve">Monthly Payroll </t>
  </si>
  <si>
    <t>JOURNAL ENTRIES</t>
  </si>
  <si>
    <t xml:space="preserve">Date   </t>
  </si>
  <si>
    <t>PARTICULARS</t>
  </si>
  <si>
    <t>New  Account Number</t>
  </si>
  <si>
    <t>DEBIT</t>
  </si>
  <si>
    <t>CREDIT</t>
  </si>
  <si>
    <t>Salaries</t>
  </si>
  <si>
    <t>Salaries &amp; Wages Control</t>
  </si>
  <si>
    <t>Employer</t>
  </si>
  <si>
    <t>Contribution</t>
  </si>
  <si>
    <t>Employee</t>
  </si>
  <si>
    <t>THIRD PARTY</t>
  </si>
  <si>
    <t>NIC</t>
  </si>
  <si>
    <t>Bonus</t>
  </si>
  <si>
    <t>Holiday Pay (14/15)</t>
  </si>
  <si>
    <t xml:space="preserve">Basic </t>
  </si>
  <si>
    <t xml:space="preserve">Transport </t>
  </si>
  <si>
    <t>Incentive</t>
  </si>
  <si>
    <t>Salary Adjustment</t>
  </si>
  <si>
    <t>IDEAL BAKERY</t>
  </si>
  <si>
    <t xml:space="preserve"> 30th April  2021</t>
  </si>
  <si>
    <t>Overtime</t>
  </si>
  <si>
    <t>BELMONT ; ST GEORGES'S</t>
  </si>
  <si>
    <t>PRODUCTION</t>
  </si>
  <si>
    <t>Prince</t>
  </si>
  <si>
    <t>Alston Prince</t>
  </si>
  <si>
    <t>Carl Smith</t>
  </si>
  <si>
    <t>Dexter Lett</t>
  </si>
  <si>
    <t>Kennisha Williams</t>
  </si>
  <si>
    <t>Kenson Baptiste</t>
  </si>
  <si>
    <t>Peter Alexis</t>
  </si>
  <si>
    <t>Norris Joseph</t>
  </si>
  <si>
    <t>Gerald Jones</t>
  </si>
  <si>
    <t>Oscar Elcock</t>
  </si>
  <si>
    <t>Andris Toussaint</t>
  </si>
  <si>
    <t>Glenderine DeRiggs</t>
  </si>
  <si>
    <t>Merril Modoo</t>
  </si>
  <si>
    <t>Onika Phillip</t>
  </si>
  <si>
    <t>ADMINISTRATION</t>
  </si>
  <si>
    <t>SALES</t>
  </si>
  <si>
    <t>&lt; 36,000</t>
  </si>
  <si>
    <t>36,001 - 50,000</t>
  </si>
  <si>
    <t>&gt;50001</t>
  </si>
  <si>
    <t>Union</t>
  </si>
  <si>
    <t>Dues</t>
  </si>
  <si>
    <t>Products</t>
  </si>
  <si>
    <t>Ideal Bakery</t>
  </si>
  <si>
    <t>Veronica Alexander</t>
  </si>
  <si>
    <t>Total NIS  Due</t>
  </si>
  <si>
    <t>XCD$</t>
  </si>
  <si>
    <t>Credit Deductions</t>
  </si>
  <si>
    <t>Total Creditors</t>
  </si>
  <si>
    <t>Union Dues</t>
  </si>
  <si>
    <t>Employer NIS Contribution</t>
  </si>
  <si>
    <t>Other Allowance</t>
  </si>
  <si>
    <t>PAYE Control</t>
  </si>
  <si>
    <t xml:space="preserve">NIS Control </t>
  </si>
  <si>
    <t>Creditors Deduction</t>
  </si>
  <si>
    <t>Other Allow.</t>
  </si>
  <si>
    <t>Credit Deduction</t>
  </si>
  <si>
    <t>Gross  Pay</t>
  </si>
  <si>
    <t>Gross Pay</t>
  </si>
  <si>
    <t>Total Union 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</si>
</sst>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.00_);_(* \(#,##0.00\);_(* &quot;-&quot;??_);_(@_)"/>
    <numFmt numFmtId="165" formatCode="_-* #,##0.00_-;\(#,##0.00\);_-* &quot;-&quot;??_-;_-@_-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0"/>
      <color rgb="FFFF0000"/>
      <name val="Arial"/>
      <family val="2"/>
    </font>
    <font>
      <sz val="11"/>
      <name val="Tahoma"/>
      <family val="2"/>
    </font>
    <font>
      <b/>
      <u/>
      <sz val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2"/>
      <name val="Book Antiqua"/>
      <family val="1"/>
    </font>
    <font>
      <b/>
      <sz val="7"/>
      <name val="Book Antiqua"/>
      <family val="1"/>
    </font>
    <font>
      <b/>
      <u/>
      <sz val="11"/>
      <name val="Book Antiqua"/>
      <family val="1"/>
    </font>
    <font>
      <sz val="10"/>
      <color theme="1"/>
      <name val="Book Antiqua"/>
      <family val="1"/>
    </font>
    <font>
      <u/>
      <sz val="10"/>
      <name val="Arial"/>
      <family val="2"/>
    </font>
    <font>
      <b/>
      <sz val="12"/>
      <name val="Arial"/>
      <family val="2"/>
    </font>
    <font>
      <b/>
      <u val="singleAccounting"/>
      <sz val="10"/>
      <name val="Arial"/>
      <family val="2"/>
    </font>
    <font>
      <b/>
      <u val="singleAccounting"/>
      <sz val="11"/>
      <name val="Arial"/>
      <family val="2"/>
    </font>
    <font>
      <b/>
      <u/>
      <sz val="11"/>
      <name val="Arial"/>
      <family val="2"/>
    </font>
    <font>
      <sz val="11"/>
      <color rgb="FF1F497D"/>
      <name val="Calibri"/>
      <family val="2"/>
    </font>
    <font>
      <sz val="10"/>
      <name val="Tahoma"/>
      <family val="2"/>
    </font>
    <font>
      <b/>
      <sz val="11"/>
      <color theme="1"/>
      <name val="Aharoni"/>
      <charset val="177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haroni"/>
      <charset val="177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</borders>
  <cellStyleXfs count="7">
    <xf numFmtId="0" fontId="0" fillId="0" borderId="0"/>
    <xf numFmtId="43" fontId="10" fillId="0" borderId="0" applyFont="0" applyFill="0" applyBorder="0" applyAlignment="0" applyProtection="0"/>
    <xf numFmtId="0" fontId="9" fillId="0" borderId="0"/>
    <xf numFmtId="0" fontId="8" fillId="0" borderId="0"/>
    <xf numFmtId="0" fontId="8" fillId="0" borderId="0"/>
    <xf numFmtId="0" fontId="7" fillId="0" borderId="0"/>
    <xf numFmtId="0" fontId="23" fillId="0" borderId="0"/>
  </cellStyleXfs>
  <cellXfs count="366">
    <xf numFmtId="0" fontId="0" fillId="0" borderId="0" xfId="0"/>
    <xf numFmtId="0" fontId="0" fillId="0" borderId="0" xfId="0" applyBorder="1"/>
    <xf numFmtId="0" fontId="1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2" fillId="2" borderId="0" xfId="0" applyFont="1" applyFill="1" applyAlignment="1">
      <alignment horizontal="center"/>
    </xf>
    <xf numFmtId="0" fontId="11" fillId="0" borderId="0" xfId="0" applyFont="1" applyBorder="1" applyAlignment="1">
      <alignment horizontal="center"/>
    </xf>
    <xf numFmtId="165" fontId="0" fillId="0" borderId="0" xfId="0" applyNumberFormat="1"/>
    <xf numFmtId="0" fontId="14" fillId="0" borderId="0" xfId="0" applyFont="1" applyBorder="1"/>
    <xf numFmtId="0" fontId="0" fillId="0" borderId="0" xfId="0" applyBorder="1" applyAlignment="1">
      <alignment horizontal="left" indent="1"/>
    </xf>
    <xf numFmtId="0" fontId="11" fillId="0" borderId="0" xfId="0" applyFont="1" applyBorder="1" applyAlignment="1">
      <alignment horizontal="left" indent="1"/>
    </xf>
    <xf numFmtId="0" fontId="15" fillId="0" borderId="0" xfId="0" applyFont="1" applyBorder="1"/>
    <xf numFmtId="0" fontId="11" fillId="0" borderId="0" xfId="0" applyFont="1" applyFill="1" applyBorder="1" applyAlignment="1">
      <alignment horizontal="left" indent="1"/>
    </xf>
    <xf numFmtId="0" fontId="0" fillId="0" borderId="0" xfId="0" applyFill="1" applyBorder="1"/>
    <xf numFmtId="165" fontId="0" fillId="0" borderId="0" xfId="0" applyNumberFormat="1" applyFill="1"/>
    <xf numFmtId="165" fontId="12" fillId="0" borderId="0" xfId="0" applyNumberFormat="1" applyFont="1" applyFill="1"/>
    <xf numFmtId="0" fontId="0" fillId="0" borderId="0" xfId="0" applyFill="1"/>
    <xf numFmtId="0" fontId="0" fillId="0" borderId="0" xfId="0" applyFill="1" applyBorder="1" applyAlignment="1">
      <alignment horizontal="left" indent="1"/>
    </xf>
    <xf numFmtId="0" fontId="12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/>
    </xf>
    <xf numFmtId="4" fontId="0" fillId="0" borderId="0" xfId="0" applyNumberFormat="1" applyBorder="1"/>
    <xf numFmtId="165" fontId="0" fillId="0" borderId="3" xfId="0" applyNumberFormat="1" applyBorder="1"/>
    <xf numFmtId="165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left" indent="1"/>
    </xf>
    <xf numFmtId="49" fontId="11" fillId="0" borderId="0" xfId="0" applyNumberFormat="1" applyFont="1" applyBorder="1" applyAlignment="1">
      <alignment horizontal="center"/>
    </xf>
    <xf numFmtId="49" fontId="11" fillId="0" borderId="0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14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/>
    <xf numFmtId="165" fontId="12" fillId="0" borderId="0" xfId="0" applyNumberFormat="1" applyFont="1"/>
    <xf numFmtId="165" fontId="12" fillId="0" borderId="3" xfId="0" applyNumberFormat="1" applyFont="1" applyBorder="1"/>
    <xf numFmtId="165" fontId="0" fillId="0" borderId="0" xfId="0" applyNumberFormat="1" applyBorder="1"/>
    <xf numFmtId="0" fontId="12" fillId="0" borderId="0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164" fontId="13" fillId="0" borderId="0" xfId="0" applyNumberFormat="1" applyFont="1"/>
    <xf numFmtId="0" fontId="13" fillId="0" borderId="0" xfId="0" applyFont="1" applyAlignment="1">
      <alignment horizontal="center"/>
    </xf>
    <xf numFmtId="165" fontId="13" fillId="0" borderId="0" xfId="0" applyNumberFormat="1" applyFont="1"/>
    <xf numFmtId="165" fontId="18" fillId="0" borderId="0" xfId="0" applyNumberFormat="1" applyFon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43" fontId="0" fillId="0" borderId="0" xfId="1" applyFont="1"/>
    <xf numFmtId="0" fontId="0" fillId="0" borderId="0" xfId="0" applyFill="1" applyAlignment="1">
      <alignment horizontal="center"/>
    </xf>
    <xf numFmtId="0" fontId="0" fillId="0" borderId="2" xfId="0" applyFill="1" applyBorder="1"/>
    <xf numFmtId="0" fontId="11" fillId="0" borderId="0" xfId="0" applyFont="1" applyFill="1" applyBorder="1"/>
    <xf numFmtId="0" fontId="15" fillId="0" borderId="0" xfId="0" applyFont="1" applyFill="1" applyBorder="1"/>
    <xf numFmtId="0" fontId="14" fillId="0" borderId="0" xfId="0" applyFont="1" applyFill="1" applyBorder="1"/>
    <xf numFmtId="1" fontId="0" fillId="0" borderId="0" xfId="0" applyNumberFormat="1" applyAlignment="1">
      <alignment horizontal="center"/>
    </xf>
    <xf numFmtId="15" fontId="11" fillId="0" borderId="0" xfId="0" applyNumberFormat="1" applyFont="1" applyFill="1" applyBorder="1" applyAlignment="1">
      <alignment horizontal="left" indent="1"/>
    </xf>
    <xf numFmtId="15" fontId="0" fillId="0" borderId="0" xfId="0" applyNumberFormat="1" applyFill="1" applyBorder="1"/>
    <xf numFmtId="15" fontId="11" fillId="0" borderId="0" xfId="0" applyNumberFormat="1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0" fillId="0" borderId="0" xfId="0" applyAlignment="1"/>
    <xf numFmtId="164" fontId="13" fillId="0" borderId="0" xfId="0" applyNumberFormat="1" applyFont="1" applyAlignment="1"/>
    <xf numFmtId="165" fontId="18" fillId="0" borderId="0" xfId="0" applyNumberFormat="1" applyFont="1" applyAlignment="1"/>
    <xf numFmtId="165" fontId="13" fillId="0" borderId="0" xfId="0" applyNumberFormat="1" applyFont="1" applyAlignment="1"/>
    <xf numFmtId="43" fontId="0" fillId="0" borderId="3" xfId="0" applyNumberFormat="1" applyFill="1" applyBorder="1"/>
    <xf numFmtId="49" fontId="10" fillId="0" borderId="0" xfId="0" applyNumberFormat="1" applyFont="1" applyBorder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 applyFill="1" applyBorder="1" applyAlignment="1">
      <alignment horizontal="left" indent="1"/>
    </xf>
    <xf numFmtId="0" fontId="10" fillId="0" borderId="0" xfId="0" applyFont="1" applyBorder="1" applyAlignment="1">
      <alignment horizontal="left" indent="1"/>
    </xf>
    <xf numFmtId="0" fontId="10" fillId="0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/>
    <xf numFmtId="0" fontId="10" fillId="0" borderId="0" xfId="0" applyFont="1" applyFill="1" applyBorder="1"/>
    <xf numFmtId="0" fontId="12" fillId="0" borderId="0" xfId="0" applyFont="1" applyFill="1" applyAlignment="1">
      <alignment horizontal="center"/>
    </xf>
    <xf numFmtId="0" fontId="12" fillId="0" borderId="0" xfId="0" applyFont="1" applyFill="1" applyBorder="1" applyAlignment="1">
      <alignment vertical="center" wrapText="1"/>
    </xf>
    <xf numFmtId="165" fontId="0" fillId="0" borderId="0" xfId="0" applyNumberFormat="1" applyFill="1" applyAlignment="1">
      <alignment horizontal="center"/>
    </xf>
    <xf numFmtId="165" fontId="0" fillId="0" borderId="3" xfId="0" applyNumberFormat="1" applyFill="1" applyBorder="1"/>
    <xf numFmtId="0" fontId="12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left" indent="1"/>
    </xf>
    <xf numFmtId="49" fontId="0" fillId="0" borderId="0" xfId="0" applyNumberFormat="1" applyFill="1" applyAlignment="1">
      <alignment horizontal="center"/>
    </xf>
    <xf numFmtId="49" fontId="14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center"/>
    </xf>
    <xf numFmtId="49" fontId="10" fillId="0" borderId="0" xfId="0" applyNumberFormat="1" applyFont="1" applyFill="1" applyBorder="1" applyAlignment="1">
      <alignment horizontal="right"/>
    </xf>
    <xf numFmtId="165" fontId="0" fillId="0" borderId="0" xfId="0" applyNumberFormat="1" applyFill="1" applyBorder="1"/>
    <xf numFmtId="165" fontId="0" fillId="3" borderId="0" xfId="0" applyNumberFormat="1" applyFill="1"/>
    <xf numFmtId="165" fontId="11" fillId="3" borderId="0" xfId="0" applyNumberFormat="1" applyFont="1" applyFill="1"/>
    <xf numFmtId="165" fontId="0" fillId="3" borderId="3" xfId="0" applyNumberFormat="1" applyFill="1" applyBorder="1"/>
    <xf numFmtId="165" fontId="13" fillId="0" borderId="0" xfId="0" applyNumberFormat="1" applyFont="1" applyFill="1"/>
    <xf numFmtId="0" fontId="10" fillId="0" borderId="0" xfId="0" applyFont="1" applyAlignment="1">
      <alignment horizontal="center"/>
    </xf>
    <xf numFmtId="0" fontId="9" fillId="0" borderId="0" xfId="2"/>
    <xf numFmtId="0" fontId="21" fillId="0" borderId="15" xfId="2" applyFont="1" applyBorder="1"/>
    <xf numFmtId="0" fontId="9" fillId="0" borderId="16" xfId="2" applyBorder="1"/>
    <xf numFmtId="0" fontId="9" fillId="0" borderId="17" xfId="2" applyBorder="1"/>
    <xf numFmtId="0" fontId="9" fillId="0" borderId="15" xfId="2" applyBorder="1"/>
    <xf numFmtId="0" fontId="9" fillId="0" borderId="0" xfId="2" applyBorder="1"/>
    <xf numFmtId="0" fontId="9" fillId="0" borderId="18" xfId="2" applyBorder="1"/>
    <xf numFmtId="0" fontId="9" fillId="0" borderId="19" xfId="2" applyBorder="1"/>
    <xf numFmtId="0" fontId="21" fillId="0" borderId="20" xfId="2" applyFont="1" applyBorder="1"/>
    <xf numFmtId="0" fontId="9" fillId="0" borderId="22" xfId="2" applyBorder="1"/>
    <xf numFmtId="0" fontId="9" fillId="0" borderId="23" xfId="2" applyBorder="1"/>
    <xf numFmtId="0" fontId="9" fillId="0" borderId="24" xfId="2" applyBorder="1"/>
    <xf numFmtId="0" fontId="9" fillId="0" borderId="25" xfId="2" applyBorder="1"/>
    <xf numFmtId="0" fontId="9" fillId="0" borderId="26" xfId="2" applyBorder="1"/>
    <xf numFmtId="43" fontId="9" fillId="0" borderId="0" xfId="1" applyFont="1"/>
    <xf numFmtId="43" fontId="9" fillId="0" borderId="16" xfId="1" applyFont="1" applyBorder="1"/>
    <xf numFmtId="43" fontId="9" fillId="0" borderId="0" xfId="1" applyFont="1" applyBorder="1"/>
    <xf numFmtId="43" fontId="21" fillId="0" borderId="20" xfId="1" applyFont="1" applyBorder="1"/>
    <xf numFmtId="43" fontId="9" fillId="0" borderId="19" xfId="1" applyFont="1" applyBorder="1"/>
    <xf numFmtId="43" fontId="9" fillId="0" borderId="19" xfId="1" applyFont="1" applyBorder="1" applyAlignment="1">
      <alignment horizontal="left"/>
    </xf>
    <xf numFmtId="43" fontId="9" fillId="0" borderId="23" xfId="1" applyFont="1" applyBorder="1"/>
    <xf numFmtId="43" fontId="21" fillId="0" borderId="15" xfId="1" applyFont="1" applyBorder="1"/>
    <xf numFmtId="43" fontId="9" fillId="0" borderId="26" xfId="1" applyFont="1" applyBorder="1"/>
    <xf numFmtId="43" fontId="9" fillId="0" borderId="18" xfId="1" applyFont="1" applyBorder="1"/>
    <xf numFmtId="43" fontId="9" fillId="0" borderId="18" xfId="1" applyFont="1" applyBorder="1" applyAlignment="1">
      <alignment horizontal="left"/>
    </xf>
    <xf numFmtId="43" fontId="9" fillId="0" borderId="25" xfId="1" applyFont="1" applyBorder="1"/>
    <xf numFmtId="43" fontId="21" fillId="0" borderId="21" xfId="1" applyFont="1" applyBorder="1"/>
    <xf numFmtId="43" fontId="0" fillId="0" borderId="0" xfId="1" applyFont="1" applyFill="1"/>
    <xf numFmtId="43" fontId="0" fillId="0" borderId="0" xfId="0" applyNumberFormat="1"/>
    <xf numFmtId="165" fontId="12" fillId="0" borderId="5" xfId="0" applyNumberFormat="1" applyFont="1" applyFill="1" applyBorder="1" applyAlignment="1"/>
    <xf numFmtId="0" fontId="15" fillId="0" borderId="0" xfId="0" applyFont="1"/>
    <xf numFmtId="43" fontId="15" fillId="0" borderId="0" xfId="1" applyFont="1"/>
    <xf numFmtId="0" fontId="0" fillId="0" borderId="0" xfId="1" applyNumberFormat="1" applyFont="1"/>
    <xf numFmtId="0" fontId="24" fillId="0" borderId="0" xfId="6" applyFont="1" applyAlignment="1">
      <alignment horizontal="centerContinuous" vertical="center"/>
    </xf>
    <xf numFmtId="0" fontId="25" fillId="0" borderId="0" xfId="6" applyFont="1" applyAlignment="1">
      <alignment horizontal="centerContinuous" vertical="center"/>
    </xf>
    <xf numFmtId="4" fontId="26" fillId="0" borderId="0" xfId="6" applyNumberFormat="1" applyFont="1" applyAlignment="1">
      <alignment horizontal="centerContinuous" vertical="center"/>
    </xf>
    <xf numFmtId="43" fontId="26" fillId="0" borderId="0" xfId="1" applyFont="1" applyAlignment="1">
      <alignment horizontal="centerContinuous" vertical="center"/>
    </xf>
    <xf numFmtId="0" fontId="23" fillId="0" borderId="0" xfId="6" applyAlignment="1">
      <alignment horizontal="centerContinuous" vertical="center"/>
    </xf>
    <xf numFmtId="0" fontId="23" fillId="0" borderId="0" xfId="6"/>
    <xf numFmtId="0" fontId="26" fillId="0" borderId="0" xfId="6" applyFont="1"/>
    <xf numFmtId="0" fontId="25" fillId="0" borderId="0" xfId="6" applyFont="1" applyAlignment="1">
      <alignment horizontal="center"/>
    </xf>
    <xf numFmtId="4" fontId="26" fillId="0" borderId="0" xfId="6" applyNumberFormat="1" applyFont="1"/>
    <xf numFmtId="43" fontId="26" fillId="0" borderId="0" xfId="1" applyFont="1"/>
    <xf numFmtId="0" fontId="27" fillId="0" borderId="0" xfId="6" applyFont="1"/>
    <xf numFmtId="4" fontId="25" fillId="0" borderId="0" xfId="6" applyNumberFormat="1" applyFont="1"/>
    <xf numFmtId="17" fontId="27" fillId="0" borderId="0" xfId="1" quotePrefix="1" applyNumberFormat="1" applyFont="1" applyAlignment="1">
      <alignment horizontal="center"/>
    </xf>
    <xf numFmtId="0" fontId="25" fillId="0" borderId="4" xfId="6" applyFont="1" applyBorder="1" applyAlignment="1">
      <alignment horizontal="center" vertical="center"/>
    </xf>
    <xf numFmtId="0" fontId="25" fillId="0" borderId="4" xfId="6" applyFont="1" applyBorder="1" applyAlignment="1">
      <alignment horizontal="center" vertical="center" wrapText="1"/>
    </xf>
    <xf numFmtId="4" fontId="25" fillId="0" borderId="4" xfId="6" applyNumberFormat="1" applyFont="1" applyBorder="1" applyAlignment="1">
      <alignment horizontal="center" vertical="center"/>
    </xf>
    <xf numFmtId="43" fontId="25" fillId="0" borderId="4" xfId="1" applyFont="1" applyBorder="1" applyAlignment="1">
      <alignment horizontal="center" vertical="center"/>
    </xf>
    <xf numFmtId="0" fontId="26" fillId="0" borderId="4" xfId="6" applyFont="1" applyBorder="1"/>
    <xf numFmtId="0" fontId="28" fillId="0" borderId="4" xfId="6" applyFont="1" applyBorder="1" applyAlignment="1">
      <alignment horizontal="center"/>
    </xf>
    <xf numFmtId="4" fontId="25" fillId="0" borderId="4" xfId="6" applyNumberFormat="1" applyFont="1" applyBorder="1" applyAlignment="1">
      <alignment horizontal="centerContinuous"/>
    </xf>
    <xf numFmtId="43" fontId="25" fillId="0" borderId="4" xfId="1" applyFont="1" applyBorder="1" applyAlignment="1">
      <alignment horizontal="centerContinuous"/>
    </xf>
    <xf numFmtId="0" fontId="29" fillId="0" borderId="4" xfId="6" applyFont="1" applyBorder="1" applyAlignment="1">
      <alignment horizontal="left" indent="1"/>
    </xf>
    <xf numFmtId="0" fontId="25" fillId="0" borderId="4" xfId="6" applyFont="1" applyBorder="1" applyAlignment="1">
      <alignment horizontal="center"/>
    </xf>
    <xf numFmtId="4" fontId="26" fillId="0" borderId="4" xfId="6" applyNumberFormat="1" applyFont="1" applyBorder="1"/>
    <xf numFmtId="43" fontId="26" fillId="0" borderId="4" xfId="1" applyFont="1" applyBorder="1"/>
    <xf numFmtId="0" fontId="26" fillId="0" borderId="4" xfId="6" applyFont="1" applyFill="1" applyBorder="1"/>
    <xf numFmtId="0" fontId="30" fillId="0" borderId="4" xfId="3" applyFont="1" applyBorder="1" applyAlignment="1">
      <alignment horizontal="center" vertical="center"/>
    </xf>
    <xf numFmtId="43" fontId="26" fillId="0" borderId="4" xfId="1" applyFont="1" applyFill="1" applyBorder="1"/>
    <xf numFmtId="4" fontId="23" fillId="0" borderId="0" xfId="6" applyNumberFormat="1"/>
    <xf numFmtId="43" fontId="26" fillId="5" borderId="4" xfId="1" applyFont="1" applyFill="1" applyBorder="1"/>
    <xf numFmtId="0" fontId="27" fillId="0" borderId="4" xfId="6" applyFont="1" applyBorder="1" applyAlignment="1">
      <alignment horizontal="center" vertical="center"/>
    </xf>
    <xf numFmtId="4" fontId="26" fillId="0" borderId="0" xfId="1" applyNumberFormat="1" applyFont="1" applyBorder="1"/>
    <xf numFmtId="0" fontId="14" fillId="0" borderId="0" xfId="0" applyFont="1"/>
    <xf numFmtId="0" fontId="10" fillId="0" borderId="0" xfId="0" applyFont="1"/>
    <xf numFmtId="4" fontId="0" fillId="0" borderId="0" xfId="0" applyNumberFormat="1"/>
    <xf numFmtId="0" fontId="31" fillId="0" borderId="0" xfId="0" applyFont="1"/>
    <xf numFmtId="43" fontId="26" fillId="0" borderId="28" xfId="1" applyFont="1" applyFill="1" applyBorder="1"/>
    <xf numFmtId="43" fontId="25" fillId="0" borderId="29" xfId="1" applyFont="1" applyBorder="1"/>
    <xf numFmtId="4" fontId="25" fillId="0" borderId="29" xfId="6" applyNumberFormat="1" applyFont="1" applyFill="1" applyBorder="1"/>
    <xf numFmtId="4" fontId="23" fillId="0" borderId="0" xfId="6" applyNumberFormat="1" applyBorder="1"/>
    <xf numFmtId="0" fontId="23" fillId="0" borderId="0" xfId="6" applyFont="1"/>
    <xf numFmtId="0" fontId="32" fillId="0" borderId="0" xfId="6" applyFont="1"/>
    <xf numFmtId="4" fontId="10" fillId="0" borderId="0" xfId="0" applyNumberFormat="1" applyFont="1"/>
    <xf numFmtId="0" fontId="6" fillId="0" borderId="4" xfId="5" quotePrefix="1" applyFont="1" applyBorder="1" applyAlignment="1">
      <alignment horizontal="center" vertical="center"/>
    </xf>
    <xf numFmtId="0" fontId="6" fillId="0" borderId="4" xfId="5" quotePrefix="1" applyFont="1" applyBorder="1" applyAlignment="1">
      <alignment horizontal="center"/>
    </xf>
    <xf numFmtId="0" fontId="7" fillId="0" borderId="4" xfId="5" applyBorder="1" applyAlignment="1">
      <alignment horizontal="center" vertical="center"/>
    </xf>
    <xf numFmtId="0" fontId="12" fillId="0" borderId="3" xfId="1" applyNumberFormat="1" applyFont="1" applyFill="1" applyBorder="1"/>
    <xf numFmtId="0" fontId="0" fillId="0" borderId="32" xfId="1" applyNumberFormat="1" applyFont="1" applyBorder="1" applyAlignment="1">
      <alignment horizontal="centerContinuous" vertical="center"/>
    </xf>
    <xf numFmtId="43" fontId="0" fillId="0" borderId="32" xfId="1" applyFont="1" applyBorder="1" applyAlignment="1">
      <alignment horizontal="centerContinuous" vertical="center"/>
    </xf>
    <xf numFmtId="43" fontId="0" fillId="0" borderId="33" xfId="1" applyFont="1" applyBorder="1" applyAlignment="1">
      <alignment horizontal="centerContinuous" vertical="center"/>
    </xf>
    <xf numFmtId="0" fontId="0" fillId="0" borderId="0" xfId="1" applyNumberFormat="1" applyFont="1" applyBorder="1" applyAlignment="1">
      <alignment horizontal="centerContinuous" vertical="center"/>
    </xf>
    <xf numFmtId="43" fontId="0" fillId="0" borderId="0" xfId="1" applyFont="1" applyBorder="1" applyAlignment="1">
      <alignment horizontal="centerContinuous" vertical="center"/>
    </xf>
    <xf numFmtId="43" fontId="0" fillId="0" borderId="35" xfId="1" applyFont="1" applyBorder="1" applyAlignment="1">
      <alignment horizontal="centerContinuous" vertical="center"/>
    </xf>
    <xf numFmtId="43" fontId="33" fillId="0" borderId="34" xfId="1" applyFont="1" applyBorder="1"/>
    <xf numFmtId="0" fontId="0" fillId="0" borderId="0" xfId="1" applyNumberFormat="1" applyFont="1" applyBorder="1"/>
    <xf numFmtId="43" fontId="0" fillId="0" borderId="35" xfId="1" applyFont="1" applyBorder="1"/>
    <xf numFmtId="43" fontId="15" fillId="0" borderId="34" xfId="1" applyFont="1" applyBorder="1"/>
    <xf numFmtId="0" fontId="15" fillId="0" borderId="0" xfId="1" applyNumberFormat="1" applyFont="1" applyBorder="1"/>
    <xf numFmtId="43" fontId="0" fillId="0" borderId="34" xfId="1" applyFont="1" applyBorder="1"/>
    <xf numFmtId="43" fontId="12" fillId="0" borderId="36" xfId="1" applyFont="1" applyFill="1" applyBorder="1"/>
    <xf numFmtId="0" fontId="22" fillId="0" borderId="0" xfId="1" applyNumberFormat="1" applyFont="1" applyBorder="1"/>
    <xf numFmtId="43" fontId="34" fillId="0" borderId="31" xfId="1" applyFont="1" applyBorder="1" applyAlignment="1">
      <alignment horizontal="centerContinuous" vertical="center"/>
    </xf>
    <xf numFmtId="43" fontId="34" fillId="0" borderId="34" xfId="1" applyFont="1" applyBorder="1" applyAlignment="1">
      <alignment horizontal="centerContinuous" vertical="center"/>
    </xf>
    <xf numFmtId="43" fontId="0" fillId="0" borderId="39" xfId="1" applyFont="1" applyBorder="1"/>
    <xf numFmtId="43" fontId="12" fillId="0" borderId="4" xfId="1" applyFont="1" applyFill="1" applyBorder="1"/>
    <xf numFmtId="43" fontId="15" fillId="0" borderId="41" xfId="1" applyFont="1" applyBorder="1" applyAlignment="1">
      <alignment horizontal="center" vertical="center"/>
    </xf>
    <xf numFmtId="43" fontId="15" fillId="0" borderId="42" xfId="1" applyFont="1" applyBorder="1"/>
    <xf numFmtId="43" fontId="12" fillId="0" borderId="28" xfId="1" applyFont="1" applyBorder="1" applyAlignment="1">
      <alignment horizontal="center" vertical="center"/>
    </xf>
    <xf numFmtId="43" fontId="0" fillId="0" borderId="43" xfId="1" applyFont="1" applyBorder="1"/>
    <xf numFmtId="0" fontId="15" fillId="0" borderId="34" xfId="0" applyFont="1" applyBorder="1"/>
    <xf numFmtId="0" fontId="15" fillId="0" borderId="35" xfId="0" applyFont="1" applyBorder="1"/>
    <xf numFmtId="0" fontId="0" fillId="0" borderId="34" xfId="0" applyBorder="1"/>
    <xf numFmtId="43" fontId="0" fillId="0" borderId="44" xfId="1" applyFont="1" applyBorder="1"/>
    <xf numFmtId="0" fontId="35" fillId="0" borderId="31" xfId="0" applyFont="1" applyBorder="1" applyAlignment="1">
      <alignment horizontal="centerContinuous" vertical="center"/>
    </xf>
    <xf numFmtId="0" fontId="35" fillId="0" borderId="32" xfId="1" applyNumberFormat="1" applyFont="1" applyBorder="1" applyAlignment="1">
      <alignment horizontal="centerContinuous" vertical="center"/>
    </xf>
    <xf numFmtId="0" fontId="35" fillId="0" borderId="33" xfId="0" applyFont="1" applyBorder="1" applyAlignment="1">
      <alignment horizontal="centerContinuous" vertical="center"/>
    </xf>
    <xf numFmtId="0" fontId="35" fillId="0" borderId="34" xfId="0" applyFont="1" applyBorder="1" applyAlignment="1">
      <alignment horizontal="centerContinuous" vertical="center"/>
    </xf>
    <xf numFmtId="0" fontId="35" fillId="0" borderId="0" xfId="1" applyNumberFormat="1" applyFont="1" applyBorder="1" applyAlignment="1">
      <alignment horizontal="centerContinuous" vertical="center"/>
    </xf>
    <xf numFmtId="0" fontId="35" fillId="0" borderId="35" xfId="0" applyFont="1" applyBorder="1" applyAlignment="1">
      <alignment horizontal="centerContinuous" vertical="center"/>
    </xf>
    <xf numFmtId="0" fontId="15" fillId="0" borderId="3" xfId="1" applyNumberFormat="1" applyFont="1" applyBorder="1" applyAlignment="1">
      <alignment horizontal="right"/>
    </xf>
    <xf numFmtId="0" fontId="15" fillId="0" borderId="46" xfId="0" applyFont="1" applyBorder="1"/>
    <xf numFmtId="0" fontId="12" fillId="0" borderId="0" xfId="0" quotePrefix="1" applyFont="1" applyFill="1" applyBorder="1"/>
    <xf numFmtId="0" fontId="21" fillId="0" borderId="0" xfId="2" applyFont="1" applyBorder="1"/>
    <xf numFmtId="43" fontId="21" fillId="0" borderId="0" xfId="1" applyFont="1" applyBorder="1"/>
    <xf numFmtId="43" fontId="10" fillId="0" borderId="0" xfId="0" applyNumberFormat="1" applyFont="1"/>
    <xf numFmtId="43" fontId="0" fillId="0" borderId="0" xfId="0" applyNumberFormat="1" applyFill="1"/>
    <xf numFmtId="0" fontId="36" fillId="0" borderId="0" xfId="0" applyFont="1" applyAlignment="1">
      <alignment horizontal="center"/>
    </xf>
    <xf numFmtId="0" fontId="5" fillId="0" borderId="24" xfId="2" applyFont="1" applyBorder="1"/>
    <xf numFmtId="0" fontId="10" fillId="0" borderId="0" xfId="0" applyFont="1" applyFill="1" applyBorder="1" applyAlignment="1">
      <alignment horizontal="left"/>
    </xf>
    <xf numFmtId="43" fontId="12" fillId="0" borderId="0" xfId="1" applyFont="1" applyFill="1"/>
    <xf numFmtId="0" fontId="0" fillId="0" borderId="5" xfId="0" applyBorder="1"/>
    <xf numFmtId="0" fontId="37" fillId="0" borderId="0" xfId="0" applyFont="1" applyFill="1" applyBorder="1" applyAlignment="1">
      <alignment horizontal="left" indent="1"/>
    </xf>
    <xf numFmtId="0" fontId="0" fillId="0" borderId="35" xfId="0" applyBorder="1"/>
    <xf numFmtId="0" fontId="4" fillId="0" borderId="19" xfId="2" applyFont="1" applyBorder="1"/>
    <xf numFmtId="43" fontId="9" fillId="0" borderId="48" xfId="1" applyFont="1" applyBorder="1"/>
    <xf numFmtId="0" fontId="21" fillId="0" borderId="26" xfId="2" applyFont="1" applyBorder="1"/>
    <xf numFmtId="43" fontId="21" fillId="0" borderId="26" xfId="1" applyFont="1" applyBorder="1"/>
    <xf numFmtId="0" fontId="21" fillId="0" borderId="16" xfId="2" applyFont="1" applyBorder="1"/>
    <xf numFmtId="43" fontId="21" fillId="0" borderId="16" xfId="1" applyFont="1" applyBorder="1"/>
    <xf numFmtId="0" fontId="0" fillId="0" borderId="34" xfId="0" applyFill="1" applyBorder="1" applyAlignment="1">
      <alignment horizontal="center"/>
    </xf>
    <xf numFmtId="0" fontId="0" fillId="0" borderId="34" xfId="0" applyFill="1" applyBorder="1" applyAlignment="1">
      <alignment horizontal="left" indent="1"/>
    </xf>
    <xf numFmtId="0" fontId="0" fillId="0" borderId="34" xfId="0" applyFill="1" applyBorder="1"/>
    <xf numFmtId="0" fontId="0" fillId="0" borderId="47" xfId="0" applyFill="1" applyBorder="1" applyAlignment="1">
      <alignment horizontal="left" indent="1"/>
    </xf>
    <xf numFmtId="0" fontId="11" fillId="0" borderId="47" xfId="0" applyFont="1" applyFill="1" applyBorder="1" applyAlignment="1">
      <alignment horizontal="left" indent="1"/>
    </xf>
    <xf numFmtId="0" fontId="10" fillId="0" borderId="47" xfId="0" applyFont="1" applyFill="1" applyBorder="1" applyAlignment="1">
      <alignment horizontal="left" indent="1"/>
    </xf>
    <xf numFmtId="0" fontId="30" fillId="4" borderId="4" xfId="3" applyFont="1" applyFill="1" applyBorder="1" applyAlignment="1">
      <alignment horizontal="center" vertical="center"/>
    </xf>
    <xf numFmtId="0" fontId="3" fillId="0" borderId="19" xfId="2" applyFont="1" applyBorder="1"/>
    <xf numFmtId="0" fontId="2" fillId="0" borderId="19" xfId="2" applyFont="1" applyBorder="1"/>
    <xf numFmtId="0" fontId="1" fillId="0" borderId="19" xfId="2" applyFont="1" applyBorder="1"/>
    <xf numFmtId="0" fontId="0" fillId="0" borderId="0" xfId="0" quotePrefix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15" fontId="10" fillId="0" borderId="0" xfId="0" applyNumberFormat="1" applyFont="1" applyFill="1" applyBorder="1" applyAlignment="1">
      <alignment horizontal="left" indent="1"/>
    </xf>
    <xf numFmtId="4" fontId="12" fillId="0" borderId="0" xfId="0" applyNumberFormat="1" applyFont="1"/>
    <xf numFmtId="4" fontId="0" fillId="0" borderId="0" xfId="0" applyNumberFormat="1" applyAlignment="1">
      <alignment horizontal="center"/>
    </xf>
    <xf numFmtId="4" fontId="13" fillId="0" borderId="0" xfId="0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0" fillId="0" borderId="2" xfId="1" applyFont="1" applyFill="1" applyBorder="1"/>
    <xf numFmtId="17" fontId="14" fillId="0" borderId="0" xfId="0" applyNumberFormat="1" applyFont="1" applyFill="1" applyBorder="1"/>
    <xf numFmtId="43" fontId="38" fillId="0" borderId="0" xfId="1" applyFont="1" applyBorder="1"/>
    <xf numFmtId="43" fontId="12" fillId="0" borderId="5" xfId="1" applyFont="1" applyFill="1" applyBorder="1" applyAlignment="1"/>
    <xf numFmtId="165" fontId="12" fillId="6" borderId="6" xfId="0" applyNumberFormat="1" applyFont="1" applyFill="1" applyBorder="1"/>
    <xf numFmtId="43" fontId="0" fillId="6" borderId="3" xfId="1" applyFont="1" applyFill="1" applyBorder="1"/>
    <xf numFmtId="165" fontId="0" fillId="6" borderId="3" xfId="0" applyNumberFormat="1" applyFill="1" applyBorder="1"/>
    <xf numFmtId="165" fontId="12" fillId="6" borderId="3" xfId="0" applyNumberFormat="1" applyFont="1" applyFill="1" applyBorder="1"/>
    <xf numFmtId="165" fontId="12" fillId="0" borderId="49" xfId="0" applyNumberFormat="1" applyFont="1" applyFill="1" applyBorder="1" applyAlignment="1"/>
    <xf numFmtId="43" fontId="12" fillId="0" borderId="49" xfId="1" applyFont="1" applyFill="1" applyBorder="1" applyAlignment="1"/>
    <xf numFmtId="165" fontId="12" fillId="6" borderId="1" xfId="0" applyNumberFormat="1" applyFont="1" applyFill="1" applyBorder="1"/>
    <xf numFmtId="43" fontId="12" fillId="6" borderId="1" xfId="1" applyFont="1" applyFill="1" applyBorder="1"/>
    <xf numFmtId="165" fontId="12" fillId="0" borderId="0" xfId="0" applyNumberFormat="1" applyFont="1" applyFill="1" applyBorder="1" applyAlignment="1"/>
    <xf numFmtId="165" fontId="12" fillId="0" borderId="50" xfId="0" applyNumberFormat="1" applyFont="1" applyFill="1" applyBorder="1" applyAlignment="1"/>
    <xf numFmtId="43" fontId="12" fillId="0" borderId="50" xfId="1" applyFont="1" applyFill="1" applyBorder="1" applyAlignment="1"/>
    <xf numFmtId="165" fontId="12" fillId="0" borderId="6" xfId="0" applyNumberFormat="1" applyFont="1" applyFill="1" applyBorder="1" applyAlignment="1"/>
    <xf numFmtId="43" fontId="12" fillId="0" borderId="3" xfId="1" applyFont="1" applyFill="1" applyBorder="1" applyAlignment="1"/>
    <xf numFmtId="165" fontId="12" fillId="0" borderId="3" xfId="0" applyNumberFormat="1" applyFont="1" applyFill="1" applyBorder="1" applyAlignment="1"/>
    <xf numFmtId="4" fontId="0" fillId="6" borderId="0" xfId="0" applyNumberFormat="1" applyFill="1"/>
    <xf numFmtId="164" fontId="13" fillId="6" borderId="0" xfId="0" applyNumberFormat="1" applyFont="1" applyFill="1"/>
    <xf numFmtId="165" fontId="18" fillId="6" borderId="0" xfId="0" applyNumberFormat="1" applyFont="1" applyFill="1"/>
    <xf numFmtId="165" fontId="13" fillId="6" borderId="0" xfId="0" applyNumberFormat="1" applyFont="1" applyFill="1"/>
    <xf numFmtId="0" fontId="12" fillId="0" borderId="0" xfId="0" applyFont="1" applyFill="1" applyBorder="1" applyAlignment="1">
      <alignment horizontal="left" indent="2"/>
    </xf>
    <xf numFmtId="43" fontId="12" fillId="0" borderId="34" xfId="1" applyFont="1" applyBorder="1"/>
    <xf numFmtId="43" fontId="12" fillId="0" borderId="34" xfId="1" applyFont="1" applyBorder="1" applyAlignment="1">
      <alignment horizontal="left" indent="2"/>
    </xf>
    <xf numFmtId="43" fontId="10" fillId="0" borderId="34" xfId="1" applyFont="1" applyBorder="1" applyAlignment="1">
      <alignment horizontal="left" indent="1"/>
    </xf>
    <xf numFmtId="43" fontId="0" fillId="0" borderId="34" xfId="1" applyFont="1" applyBorder="1" applyAlignment="1">
      <alignment horizontal="left" indent="1"/>
    </xf>
    <xf numFmtId="43" fontId="0" fillId="0" borderId="6" xfId="1" applyFont="1" applyBorder="1"/>
    <xf numFmtId="0" fontId="0" fillId="0" borderId="3" xfId="1" applyNumberFormat="1" applyFont="1" applyBorder="1"/>
    <xf numFmtId="43" fontId="12" fillId="0" borderId="4" xfId="1" applyFont="1" applyBorder="1"/>
    <xf numFmtId="43" fontId="12" fillId="0" borderId="7" xfId="1" applyFont="1" applyBorder="1"/>
    <xf numFmtId="43" fontId="0" fillId="0" borderId="0" xfId="1" applyFont="1" applyBorder="1"/>
    <xf numFmtId="43" fontId="12" fillId="0" borderId="0" xfId="1" applyFont="1" applyFill="1" applyBorder="1"/>
    <xf numFmtId="0" fontId="12" fillId="0" borderId="0" xfId="1" applyNumberFormat="1" applyFont="1" applyFill="1" applyBorder="1"/>
    <xf numFmtId="43" fontId="0" fillId="0" borderId="0" xfId="1" applyFont="1" applyFill="1" applyBorder="1"/>
    <xf numFmtId="0" fontId="0" fillId="0" borderId="0" xfId="1" applyNumberFormat="1" applyFont="1" applyFill="1" applyBorder="1"/>
    <xf numFmtId="43" fontId="33" fillId="0" borderId="0" xfId="1" applyFont="1" applyBorder="1"/>
    <xf numFmtId="43" fontId="22" fillId="0" borderId="0" xfId="1" applyFont="1" applyBorder="1"/>
    <xf numFmtId="43" fontId="10" fillId="0" borderId="0" xfId="1" applyFont="1" applyBorder="1"/>
    <xf numFmtId="43" fontId="12" fillId="0" borderId="0" xfId="1" applyFont="1" applyBorder="1"/>
    <xf numFmtId="0" fontId="12" fillId="0" borderId="0" xfId="1" applyNumberFormat="1" applyFont="1" applyBorder="1"/>
    <xf numFmtId="43" fontId="12" fillId="0" borderId="30" xfId="1" applyFont="1" applyBorder="1"/>
    <xf numFmtId="0" fontId="12" fillId="0" borderId="30" xfId="1" applyNumberFormat="1" applyFont="1" applyBorder="1"/>
    <xf numFmtId="43" fontId="12" fillId="0" borderId="40" xfId="1" applyFont="1" applyBorder="1"/>
    <xf numFmtId="43" fontId="12" fillId="0" borderId="45" xfId="1" applyFont="1" applyBorder="1"/>
    <xf numFmtId="43" fontId="12" fillId="0" borderId="0" xfId="1" applyFont="1"/>
    <xf numFmtId="43" fontId="12" fillId="0" borderId="27" xfId="1" applyFont="1" applyBorder="1"/>
    <xf numFmtId="43" fontId="12" fillId="0" borderId="0" xfId="0" applyNumberFormat="1" applyFont="1"/>
    <xf numFmtId="0" fontId="12" fillId="0" borderId="38" xfId="0" applyFont="1" applyFill="1" applyBorder="1"/>
    <xf numFmtId="0" fontId="12" fillId="0" borderId="30" xfId="1" applyNumberFormat="1" applyFont="1" applyFill="1" applyBorder="1"/>
    <xf numFmtId="43" fontId="12" fillId="0" borderId="45" xfId="1" applyFont="1" applyFill="1" applyBorder="1"/>
    <xf numFmtId="0" fontId="0" fillId="0" borderId="51" xfId="0" applyBorder="1"/>
    <xf numFmtId="0" fontId="10" fillId="0" borderId="52" xfId="0" applyFont="1" applyFill="1" applyBorder="1" applyAlignment="1">
      <alignment horizontal="left" indent="1"/>
    </xf>
    <xf numFmtId="0" fontId="0" fillId="0" borderId="50" xfId="0" applyBorder="1"/>
    <xf numFmtId="0" fontId="10" fillId="0" borderId="53" xfId="0" applyFont="1" applyFill="1" applyBorder="1" applyAlignment="1">
      <alignment horizontal="left" indent="1"/>
    </xf>
    <xf numFmtId="0" fontId="0" fillId="0" borderId="49" xfId="0" applyBorder="1"/>
    <xf numFmtId="0" fontId="10" fillId="0" borderId="38" xfId="0" applyFont="1" applyFill="1" applyBorder="1" applyAlignment="1">
      <alignment horizontal="left" indent="1"/>
    </xf>
    <xf numFmtId="0" fontId="0" fillId="0" borderId="30" xfId="0" applyBorder="1"/>
    <xf numFmtId="43" fontId="0" fillId="0" borderId="54" xfId="1" applyFont="1" applyBorder="1"/>
    <xf numFmtId="0" fontId="14" fillId="0" borderId="34" xfId="0" applyFont="1" applyFill="1" applyBorder="1" applyAlignment="1">
      <alignment horizontal="centerContinuous" vertical="center"/>
    </xf>
    <xf numFmtId="0" fontId="14" fillId="0" borderId="31" xfId="0" applyFont="1" applyFill="1" applyBorder="1" applyAlignment="1">
      <alignment horizontal="centerContinuous" vertical="center"/>
    </xf>
    <xf numFmtId="0" fontId="31" fillId="0" borderId="32" xfId="0" applyFont="1" applyBorder="1" applyAlignment="1">
      <alignment horizontal="centerContinuous" vertical="center"/>
    </xf>
    <xf numFmtId="0" fontId="31" fillId="0" borderId="33" xfId="0" applyFont="1" applyBorder="1" applyAlignment="1">
      <alignment horizontal="centerContinuous" vertical="center"/>
    </xf>
    <xf numFmtId="0" fontId="35" fillId="0" borderId="34" xfId="0" applyFont="1" applyFill="1" applyBorder="1" applyAlignment="1">
      <alignment horizontal="centerContinuous" vertical="center"/>
    </xf>
    <xf numFmtId="0" fontId="31" fillId="0" borderId="0" xfId="0" applyFont="1" applyBorder="1" applyAlignment="1">
      <alignment horizontal="centerContinuous" vertical="center"/>
    </xf>
    <xf numFmtId="0" fontId="31" fillId="0" borderId="35" xfId="0" applyFont="1" applyBorder="1" applyAlignment="1">
      <alignment horizontal="centerContinuous" vertical="center"/>
    </xf>
    <xf numFmtId="0" fontId="14" fillId="0" borderId="34" xfId="0" quotePrefix="1" applyFont="1" applyFill="1" applyBorder="1" applyAlignment="1">
      <alignment horizontal="centerContinuous" vertical="center"/>
    </xf>
    <xf numFmtId="43" fontId="0" fillId="0" borderId="55" xfId="1" applyFont="1" applyBorder="1"/>
    <xf numFmtId="43" fontId="0" fillId="0" borderId="56" xfId="1" applyFont="1" applyBorder="1"/>
    <xf numFmtId="43" fontId="0" fillId="0" borderId="58" xfId="1" applyFont="1" applyBorder="1"/>
    <xf numFmtId="43" fontId="0" fillId="0" borderId="57" xfId="1" applyFont="1" applyBorder="1"/>
    <xf numFmtId="0" fontId="10" fillId="0" borderId="47" xfId="0" applyFont="1" applyBorder="1"/>
    <xf numFmtId="0" fontId="0" fillId="0" borderId="5" xfId="1" applyNumberFormat="1" applyFont="1" applyBorder="1"/>
    <xf numFmtId="43" fontId="0" fillId="0" borderId="59" xfId="1" applyFont="1" applyBorder="1"/>
    <xf numFmtId="0" fontId="0" fillId="0" borderId="47" xfId="0" applyBorder="1"/>
    <xf numFmtId="0" fontId="0" fillId="0" borderId="59" xfId="0" applyBorder="1"/>
    <xf numFmtId="0" fontId="15" fillId="0" borderId="36" xfId="0" applyFont="1" applyBorder="1" applyAlignment="1">
      <alignment horizontal="left" vertical="center" indent="1"/>
    </xf>
    <xf numFmtId="0" fontId="12" fillId="0" borderId="34" xfId="0" applyFont="1" applyFill="1" applyBorder="1" applyAlignment="1">
      <alignment horizontal="left" vertical="center" indent="1"/>
    </xf>
    <xf numFmtId="43" fontId="0" fillId="0" borderId="36" xfId="1" applyFont="1" applyBorder="1"/>
    <xf numFmtId="43" fontId="0" fillId="0" borderId="4" xfId="1" applyFont="1" applyBorder="1"/>
    <xf numFmtId="43" fontId="0" fillId="0" borderId="37" xfId="1" applyFont="1" applyBorder="1"/>
    <xf numFmtId="0" fontId="26" fillId="0" borderId="4" xfId="6" applyFont="1" applyBorder="1" applyAlignment="1">
      <alignment horizontal="left" indent="1"/>
    </xf>
    <xf numFmtId="0" fontId="26" fillId="0" borderId="4" xfId="6" applyFont="1" applyFill="1" applyBorder="1" applyAlignment="1">
      <alignment horizontal="left" indent="1"/>
    </xf>
    <xf numFmtId="0" fontId="39" fillId="0" borderId="15" xfId="2" applyFont="1" applyBorder="1"/>
    <xf numFmtId="0" fontId="40" fillId="0" borderId="0" xfId="2" applyFont="1" applyBorder="1"/>
    <xf numFmtId="43" fontId="40" fillId="0" borderId="0" xfId="1" applyFont="1" applyBorder="1"/>
    <xf numFmtId="0" fontId="39" fillId="0" borderId="20" xfId="2" applyFont="1" applyBorder="1" applyAlignment="1">
      <alignment horizontal="center" vertical="center"/>
    </xf>
    <xf numFmtId="43" fontId="39" fillId="0" borderId="20" xfId="1" applyFont="1" applyBorder="1" applyAlignment="1">
      <alignment horizontal="center" vertical="center"/>
    </xf>
    <xf numFmtId="0" fontId="39" fillId="0" borderId="15" xfId="2" applyFont="1" applyBorder="1" applyAlignment="1">
      <alignment horizontal="center" vertical="center"/>
    </xf>
    <xf numFmtId="43" fontId="40" fillId="0" borderId="21" xfId="1" applyFont="1" applyBorder="1" applyAlignment="1">
      <alignment horizontal="center" vertical="center"/>
    </xf>
    <xf numFmtId="0" fontId="41" fillId="0" borderId="19" xfId="2" applyFont="1" applyBorder="1"/>
    <xf numFmtId="43" fontId="41" fillId="0" borderId="19" xfId="1" applyFont="1" applyBorder="1" applyAlignment="1">
      <alignment horizontal="left"/>
    </xf>
    <xf numFmtId="0" fontId="41" fillId="0" borderId="22" xfId="2" applyFont="1" applyBorder="1"/>
    <xf numFmtId="43" fontId="41" fillId="0" borderId="18" xfId="1" applyFont="1" applyBorder="1" applyAlignment="1">
      <alignment horizontal="left"/>
    </xf>
    <xf numFmtId="0" fontId="41" fillId="0" borderId="23" xfId="2" applyFont="1" applyBorder="1"/>
    <xf numFmtId="43" fontId="41" fillId="0" borderId="23" xfId="1" applyFont="1" applyBorder="1"/>
    <xf numFmtId="0" fontId="41" fillId="0" borderId="24" xfId="2" applyFont="1" applyBorder="1"/>
    <xf numFmtId="43" fontId="41" fillId="0" borderId="25" xfId="1" applyFont="1" applyBorder="1"/>
    <xf numFmtId="0" fontId="42" fillId="0" borderId="15" xfId="2" applyFont="1" applyBorder="1"/>
    <xf numFmtId="43" fontId="42" fillId="0" borderId="15" xfId="1" applyFont="1" applyBorder="1"/>
    <xf numFmtId="43" fontId="43" fillId="0" borderId="0" xfId="1" applyFont="1" applyBorder="1"/>
    <xf numFmtId="0" fontId="43" fillId="0" borderId="18" xfId="2" applyFont="1" applyBorder="1"/>
    <xf numFmtId="0" fontId="44" fillId="0" borderId="15" xfId="2" applyFont="1" applyBorder="1" applyAlignment="1">
      <alignment vertical="center"/>
    </xf>
    <xf numFmtId="0" fontId="45" fillId="0" borderId="15" xfId="2" applyFont="1" applyBorder="1" applyAlignment="1">
      <alignment vertical="center"/>
    </xf>
    <xf numFmtId="0" fontId="41" fillId="0" borderId="60" xfId="2" applyFont="1" applyBorder="1"/>
    <xf numFmtId="0" fontId="12" fillId="0" borderId="0" xfId="0" applyFont="1" applyFill="1" applyBorder="1"/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</cellXfs>
  <cellStyles count="7">
    <cellStyle name="Comma" xfId="1" builtinId="3"/>
    <cellStyle name="Normal" xfId="0" builtinId="0"/>
    <cellStyle name="Normal 2" xfId="2"/>
    <cellStyle name="Normal 2 2" xfId="4"/>
    <cellStyle name="Normal 2 2 2" xfId="5"/>
    <cellStyle name="Normal 3" xfId="3"/>
    <cellStyle name="Normal_Book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1510393</xdr:colOff>
      <xdr:row>75</xdr:row>
      <xdr:rowOff>104321</xdr:rowOff>
    </xdr:from>
    <xdr:to>
      <xdr:col>5</xdr:col>
      <xdr:colOff>136071</xdr:colOff>
      <xdr:row>78</xdr:row>
      <xdr:rowOff>90714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72EDF4E1-8824-4108-BAE8-75618FF13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0393" y="23916821"/>
          <a:ext cx="4807857" cy="938893"/>
        </a:xfrm>
        <a:prstGeom prst="rect">
          <a:avLst/>
        </a:prstGeom>
      </xdr:spPr>
    </xdr:pic>
    <xdr:clientData/>
  </xdr:twoCellAnchor>
  <xdr:twoCellAnchor editAs="oneCell">
    <xdr:from>
      <xdr:col>1</xdr:col>
      <xdr:colOff>1465037</xdr:colOff>
      <xdr:row>3</xdr:row>
      <xdr:rowOff>263072</xdr:rowOff>
    </xdr:from>
    <xdr:to>
      <xdr:col>5</xdr:col>
      <xdr:colOff>1362</xdr:colOff>
      <xdr:row>6</xdr:row>
      <xdr:rowOff>122464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9587EFA6-80CD-4EAC-A43E-8B064028D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037" y="1215572"/>
          <a:ext cx="4662714" cy="811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5</xdr:col>
      <xdr:colOff>92205</xdr:colOff>
      <xdr:row>30</xdr:row>
      <xdr:rowOff>181935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889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5</xdr:col>
      <xdr:colOff>92205</xdr:colOff>
      <xdr:row>54</xdr:row>
      <xdr:rowOff>181935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1651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5</xdr:col>
      <xdr:colOff>92205</xdr:colOff>
      <xdr:row>102</xdr:row>
      <xdr:rowOff>181935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3175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5</xdr:col>
      <xdr:colOff>92205</xdr:colOff>
      <xdr:row>126</xdr:row>
      <xdr:rowOff>181935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3937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5</xdr:col>
      <xdr:colOff>92205</xdr:colOff>
      <xdr:row>150</xdr:row>
      <xdr:rowOff>181935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4699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5</xdr:col>
      <xdr:colOff>92205</xdr:colOff>
      <xdr:row>174</xdr:row>
      <xdr:rowOff>181935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5461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5</xdr:col>
      <xdr:colOff>92205</xdr:colOff>
      <xdr:row>198</xdr:row>
      <xdr:rowOff>181935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6223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5</xdr:col>
      <xdr:colOff>92205</xdr:colOff>
      <xdr:row>222</xdr:row>
      <xdr:rowOff>181935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6985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5</xdr:col>
      <xdr:colOff>92205</xdr:colOff>
      <xdr:row>246</xdr:row>
      <xdr:rowOff>181935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7747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5</xdr:col>
      <xdr:colOff>92205</xdr:colOff>
      <xdr:row>270</xdr:row>
      <xdr:rowOff>181935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8509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292</xdr:row>
      <xdr:rowOff>0</xdr:rowOff>
    </xdr:from>
    <xdr:to>
      <xdr:col>5</xdr:col>
      <xdr:colOff>92205</xdr:colOff>
      <xdr:row>294</xdr:row>
      <xdr:rowOff>181935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9271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316</xdr:row>
      <xdr:rowOff>0</xdr:rowOff>
    </xdr:from>
    <xdr:to>
      <xdr:col>5</xdr:col>
      <xdr:colOff>92205</xdr:colOff>
      <xdr:row>318</xdr:row>
      <xdr:rowOff>181935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10033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340</xdr:row>
      <xdr:rowOff>0</xdr:rowOff>
    </xdr:from>
    <xdr:to>
      <xdr:col>5</xdr:col>
      <xdr:colOff>92205</xdr:colOff>
      <xdr:row>342</xdr:row>
      <xdr:rowOff>181935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10795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5</xdr:col>
      <xdr:colOff>92205</xdr:colOff>
      <xdr:row>366</xdr:row>
      <xdr:rowOff>181935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11557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388</xdr:row>
      <xdr:rowOff>0</xdr:rowOff>
    </xdr:from>
    <xdr:to>
      <xdr:col>5</xdr:col>
      <xdr:colOff>92205</xdr:colOff>
      <xdr:row>390</xdr:row>
      <xdr:rowOff>181935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12319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412</xdr:row>
      <xdr:rowOff>0</xdr:rowOff>
    </xdr:from>
    <xdr:to>
      <xdr:col>5</xdr:col>
      <xdr:colOff>92205</xdr:colOff>
      <xdr:row>414</xdr:row>
      <xdr:rowOff>181935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130810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438</xdr:row>
      <xdr:rowOff>0</xdr:rowOff>
    </xdr:from>
    <xdr:to>
      <xdr:col>5</xdr:col>
      <xdr:colOff>92205</xdr:colOff>
      <xdr:row>440</xdr:row>
      <xdr:rowOff>181935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1390650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463</xdr:row>
      <xdr:rowOff>0</xdr:rowOff>
    </xdr:from>
    <xdr:to>
      <xdr:col>5</xdr:col>
      <xdr:colOff>92205</xdr:colOff>
      <xdr:row>465</xdr:row>
      <xdr:rowOff>181935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147002500"/>
          <a:ext cx="4426080" cy="8169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488</xdr:row>
      <xdr:rowOff>0</xdr:rowOff>
    </xdr:from>
    <xdr:to>
      <xdr:col>5</xdr:col>
      <xdr:colOff>92205</xdr:colOff>
      <xdr:row>490</xdr:row>
      <xdr:rowOff>181935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0" y="154940000"/>
          <a:ext cx="4426080" cy="816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L52"/>
  <sheetViews>
    <sheetView zoomScale="80" zoomScaleNormal="80" workbookViewId="0">
      <pane xSplit="6" ySplit="6" topLeftCell="G7" activePane="bottomRight" state="frozen"/>
      <selection activeCell="G10" activeCellId="15" sqref="G9 G11 G12 G15 G16 G20 G21 G22 G26 G31 G33 G34 G36 G8 G9 G10"/>
      <selection pane="topRight" activeCell="G10" activeCellId="15" sqref="G9 G11 G12 G15 G16 G20 G21 G22 G26 G31 G33 G34 G36 G8 G9 G10"/>
      <selection pane="bottomLeft" activeCell="G10" activeCellId="15" sqref="G9 G11 G12 G15 G16 G20 G21 G22 G26 G31 G33 G34 G36 G8 G9 G10"/>
      <selection pane="bottomRight" activeCell="M37" sqref="M37"/>
    </sheetView>
  </sheetViews>
  <sheetFormatPr defaultRowHeight="12.75" outlineLevelRow="1" x14ac:dyDescent="0.2"/>
  <cols>
    <col min="1" max="1" width="25.85546875" style="13" customWidth="1"/>
    <col min="2" max="2" width="13.85546875" style="13" hidden="1" customWidth="1"/>
    <col min="3" max="3" width="35" style="1" hidden="1" customWidth="1"/>
    <col min="4" max="4" width="30.28515625" style="1" hidden="1" customWidth="1"/>
    <col min="5" max="6" width="10.85546875" style="1" customWidth="1"/>
    <col min="7" max="7" width="13.5703125" customWidth="1"/>
    <col min="8" max="8" width="11.28515625" bestFit="1" customWidth="1"/>
    <col min="9" max="9" width="12.42578125" bestFit="1" customWidth="1"/>
    <col min="10" max="10" width="13.85546875" style="16" bestFit="1" customWidth="1"/>
    <col min="11" max="11" width="14.7109375" customWidth="1"/>
    <col min="12" max="12" width="16.42578125" customWidth="1"/>
    <col min="13" max="13" width="12.28515625" bestFit="1" customWidth="1"/>
    <col min="14" max="14" width="12.5703125" customWidth="1"/>
    <col min="15" max="15" width="11.140625" customWidth="1"/>
    <col min="16" max="16" width="12.42578125" bestFit="1" customWidth="1"/>
    <col min="17" max="17" width="15.85546875" bestFit="1" customWidth="1"/>
    <col min="18" max="18" width="30" style="16" customWidth="1"/>
    <col min="19" max="19" width="17.7109375" style="16" customWidth="1"/>
    <col min="21" max="21" width="13.140625" customWidth="1"/>
    <col min="22" max="22" width="13.5703125" customWidth="1"/>
    <col min="23" max="23" width="15.28515625" customWidth="1"/>
    <col min="24" max="24" width="11.28515625" customWidth="1"/>
    <col min="25" max="25" width="11" customWidth="1"/>
    <col min="26" max="26" width="12" customWidth="1"/>
    <col min="27" max="27" width="13.7109375" customWidth="1"/>
    <col min="28" max="28" width="11" customWidth="1"/>
    <col min="35" max="35" width="11.85546875" customWidth="1"/>
  </cols>
  <sheetData>
    <row r="1" spans="1:38" ht="20.25" customHeight="1" x14ac:dyDescent="0.2">
      <c r="A1" s="339" t="s">
        <v>219</v>
      </c>
      <c r="B1" s="46"/>
    </row>
    <row r="2" spans="1:38" ht="20.25" customHeight="1" x14ac:dyDescent="0.25">
      <c r="A2" s="47" t="s">
        <v>199</v>
      </c>
      <c r="B2" s="47"/>
    </row>
    <row r="3" spans="1:38" ht="18" customHeight="1" x14ac:dyDescent="0.2">
      <c r="A3" s="235">
        <v>44287</v>
      </c>
      <c r="B3" s="48"/>
    </row>
    <row r="4" spans="1:38" x14ac:dyDescent="0.2">
      <c r="A4" s="199" t="s">
        <v>220</v>
      </c>
      <c r="G4" s="5"/>
      <c r="H4" s="4"/>
      <c r="I4" s="4"/>
      <c r="J4" s="44"/>
      <c r="K4" s="5"/>
      <c r="L4" s="4"/>
      <c r="M4" s="4"/>
      <c r="N4" s="4"/>
      <c r="O4" s="4" t="s">
        <v>8</v>
      </c>
      <c r="P4" s="4"/>
      <c r="Q4" s="5"/>
      <c r="X4" s="342" t="s">
        <v>120</v>
      </c>
      <c r="Y4" s="343"/>
      <c r="Z4" s="343"/>
      <c r="AA4" s="344"/>
    </row>
    <row r="5" spans="1:38" s="4" customFormat="1" ht="18" customHeight="1" x14ac:dyDescent="0.2">
      <c r="A5" s="40"/>
      <c r="B5" s="40"/>
      <c r="C5" s="3"/>
      <c r="D5" s="3"/>
      <c r="E5" s="3" t="s">
        <v>19</v>
      </c>
      <c r="F5" s="3" t="s">
        <v>11</v>
      </c>
      <c r="G5" s="5" t="s">
        <v>4</v>
      </c>
      <c r="H5" s="84" t="s">
        <v>221</v>
      </c>
      <c r="I5" s="84" t="s">
        <v>8</v>
      </c>
      <c r="J5" s="44" t="s">
        <v>213</v>
      </c>
      <c r="K5" s="5" t="s">
        <v>9</v>
      </c>
      <c r="N5" s="4" t="s">
        <v>243</v>
      </c>
      <c r="O5" s="4" t="s">
        <v>67</v>
      </c>
      <c r="P5" s="4" t="s">
        <v>12</v>
      </c>
      <c r="Q5" s="5" t="s">
        <v>13</v>
      </c>
      <c r="R5" s="44" t="s">
        <v>15</v>
      </c>
      <c r="S5" s="44" t="s">
        <v>16</v>
      </c>
      <c r="U5" s="340" t="s">
        <v>118</v>
      </c>
      <c r="V5" s="340" t="s">
        <v>117</v>
      </c>
      <c r="W5" s="345" t="s">
        <v>119</v>
      </c>
      <c r="X5" s="347" t="s">
        <v>240</v>
      </c>
      <c r="Y5" s="347" t="s">
        <v>241</v>
      </c>
      <c r="Z5" s="347" t="s">
        <v>242</v>
      </c>
      <c r="AA5" s="340"/>
      <c r="AB5" s="340" t="s">
        <v>121</v>
      </c>
      <c r="AF5" s="4" t="s">
        <v>133</v>
      </c>
    </row>
    <row r="6" spans="1:38" s="4" customFormat="1" ht="18" customHeight="1" x14ac:dyDescent="0.2">
      <c r="A6" s="17" t="s">
        <v>45</v>
      </c>
      <c r="B6" s="17" t="s">
        <v>152</v>
      </c>
      <c r="C6" s="9" t="s">
        <v>44</v>
      </c>
      <c r="D6" s="9" t="s">
        <v>43</v>
      </c>
      <c r="E6" s="3" t="s">
        <v>20</v>
      </c>
      <c r="F6" s="3" t="s">
        <v>20</v>
      </c>
      <c r="G6" s="5" t="s">
        <v>5</v>
      </c>
      <c r="I6" s="4" t="s">
        <v>7</v>
      </c>
      <c r="J6" s="44"/>
      <c r="K6" s="5" t="s">
        <v>5</v>
      </c>
      <c r="L6" s="4" t="s">
        <v>10</v>
      </c>
      <c r="M6" s="4" t="s">
        <v>11</v>
      </c>
      <c r="N6" s="4" t="s">
        <v>244</v>
      </c>
      <c r="O6" s="4" t="s">
        <v>245</v>
      </c>
      <c r="P6" s="4" t="s">
        <v>18</v>
      </c>
      <c r="Q6" s="5" t="s">
        <v>14</v>
      </c>
      <c r="R6" s="44"/>
      <c r="S6" s="44" t="s">
        <v>17</v>
      </c>
      <c r="U6" s="341"/>
      <c r="V6" s="341"/>
      <c r="W6" s="346"/>
      <c r="X6" s="341"/>
      <c r="Y6" s="341"/>
      <c r="Z6" s="341"/>
      <c r="AA6" s="341"/>
      <c r="AB6" s="341"/>
      <c r="AF6" s="4" t="s">
        <v>134</v>
      </c>
    </row>
    <row r="7" spans="1:38" s="4" customFormat="1" ht="16.5" customHeight="1" x14ac:dyDescent="0.2">
      <c r="A7" s="256" t="s">
        <v>223</v>
      </c>
      <c r="B7" s="17"/>
      <c r="C7" s="9"/>
      <c r="D7" s="9"/>
      <c r="E7" s="3"/>
      <c r="F7" s="3"/>
      <c r="G7" s="5"/>
      <c r="H7" s="233"/>
      <c r="J7" s="44"/>
      <c r="K7" s="5"/>
      <c r="Q7" s="5"/>
      <c r="R7" s="44"/>
      <c r="S7" s="44"/>
      <c r="U7" s="227"/>
      <c r="V7" s="227"/>
      <c r="W7" s="228"/>
      <c r="X7" s="35">
        <v>0</v>
      </c>
      <c r="Y7" s="35">
        <v>0.1</v>
      </c>
      <c r="Z7" s="35">
        <v>0.2</v>
      </c>
      <c r="AA7" s="35"/>
      <c r="AB7" s="37" t="s">
        <v>122</v>
      </c>
    </row>
    <row r="8" spans="1:38" ht="19.5" customHeight="1" x14ac:dyDescent="0.2">
      <c r="A8" s="61" t="s">
        <v>228</v>
      </c>
      <c r="B8" s="13" t="s">
        <v>224</v>
      </c>
      <c r="E8" s="3"/>
      <c r="F8" s="6"/>
      <c r="G8" s="207">
        <v>2500</v>
      </c>
      <c r="H8" s="112"/>
      <c r="I8" s="14"/>
      <c r="K8" s="15">
        <f>SUM(G8:J8)</f>
        <v>2500</v>
      </c>
      <c r="L8" s="14">
        <f>ROUND(AB8,2)</f>
        <v>0</v>
      </c>
      <c r="M8" s="14">
        <f t="shared" ref="M8:M15" si="0">ROUND(IF(SUM(G8:H8,J8,AF8)*5%&gt;550,550,SUM(G8:H8,J8,AF8)*5%),2)</f>
        <v>125</v>
      </c>
      <c r="N8" s="14"/>
      <c r="O8" s="14"/>
      <c r="P8" s="14">
        <f t="shared" ref="P8:P16" si="1">SUM(L8:O8)</f>
        <v>125</v>
      </c>
      <c r="Q8" s="15">
        <f t="shared" ref="Q8:Q15" si="2">SUM(K8-P8)</f>
        <v>2375</v>
      </c>
      <c r="U8" s="152">
        <f t="shared" ref="U8:U14" si="3">ROUND(G8*12+H8*12+I8*12+J8*12,0)</f>
        <v>30000</v>
      </c>
      <c r="V8" s="152">
        <v>0</v>
      </c>
      <c r="W8" s="230">
        <f>IF(U8-V8&lt;1,0,U8-V8)</f>
        <v>30000</v>
      </c>
      <c r="X8" s="231">
        <f>IF($W8&gt;36000,36000,$W8)*X$7</f>
        <v>0</v>
      </c>
      <c r="Y8" s="231">
        <f>IF($W8&gt;36000,IF($W8&gt;50000,IF($W8&gt;1,36000),$W8-36000),0)*Y$7</f>
        <v>0</v>
      </c>
      <c r="Z8" s="231">
        <f>IF($W8&gt;36000,IF($W8&gt;50000,IF($W8&gt;1,36000),$W8-50000),0)*Z$7</f>
        <v>0</v>
      </c>
      <c r="AA8" s="231"/>
      <c r="AB8" s="232">
        <f>SUM(X8:AA8)/12</f>
        <v>0</v>
      </c>
      <c r="AF8" s="4" t="s">
        <v>122</v>
      </c>
      <c r="AL8">
        <v>221</v>
      </c>
    </row>
    <row r="9" spans="1:38" ht="18" customHeight="1" x14ac:dyDescent="0.2">
      <c r="A9" s="61" t="s">
        <v>225</v>
      </c>
      <c r="B9" s="17"/>
      <c r="C9" s="9"/>
      <c r="D9" s="9"/>
      <c r="E9" s="6"/>
      <c r="F9" s="6"/>
      <c r="G9" s="207">
        <v>1815.44</v>
      </c>
      <c r="H9" s="112"/>
      <c r="I9" s="16"/>
      <c r="K9" s="15">
        <f>SUM(G9:J9)</f>
        <v>1815.44</v>
      </c>
      <c r="L9" s="14">
        <f>ROUND(AB9,2)</f>
        <v>0</v>
      </c>
      <c r="M9" s="14">
        <f t="shared" si="0"/>
        <v>90.77</v>
      </c>
      <c r="N9" s="14"/>
      <c r="O9" s="14"/>
      <c r="P9" s="14">
        <f t="shared" si="1"/>
        <v>90.77</v>
      </c>
      <c r="Q9" s="15">
        <f t="shared" si="2"/>
        <v>1724.67</v>
      </c>
      <c r="R9" s="19"/>
      <c r="S9" s="19"/>
      <c r="U9" s="152">
        <f t="shared" si="3"/>
        <v>21785</v>
      </c>
      <c r="V9" s="152">
        <v>0</v>
      </c>
      <c r="W9" s="39">
        <f>IF(U9-V9&lt;1,0,U9-V9)</f>
        <v>21785</v>
      </c>
      <c r="X9" s="38">
        <f t="shared" ref="X9:X15" si="4">IF($W9&gt;36000,36000,$W9)*X$7</f>
        <v>0</v>
      </c>
      <c r="Y9" s="38">
        <f t="shared" ref="Y9:Y15" si="5">IF($W9&gt;36000,IF($W9&gt;50000,IF($W9&gt;1,36000),$W9-36000),0)*Y$7</f>
        <v>0</v>
      </c>
      <c r="Z9" s="38">
        <f t="shared" ref="Z9:Z15" si="6">IF($W9&gt;36000,IF($W9&gt;50000,IF($W9&gt;1,36000),$W9-50000),0)*Z$7</f>
        <v>0</v>
      </c>
      <c r="AA9" s="38"/>
      <c r="AB9" s="38">
        <f>SUM(X9:AA9)/12</f>
        <v>0</v>
      </c>
      <c r="AF9" s="4"/>
      <c r="AK9">
        <v>184</v>
      </c>
    </row>
    <row r="10" spans="1:38" ht="18" customHeight="1" outlineLevel="1" x14ac:dyDescent="0.2">
      <c r="A10" s="61" t="s">
        <v>226</v>
      </c>
      <c r="B10" s="50"/>
      <c r="C10" s="10" t="s">
        <v>56</v>
      </c>
      <c r="D10" s="10" t="s">
        <v>47</v>
      </c>
      <c r="E10" s="65"/>
      <c r="F10" s="65"/>
      <c r="G10" s="15">
        <v>1591.2</v>
      </c>
      <c r="H10" s="112"/>
      <c r="I10" s="14"/>
      <c r="J10" s="14"/>
      <c r="K10" s="15">
        <f>SUM(G10:J10)</f>
        <v>1591.2</v>
      </c>
      <c r="L10" s="14">
        <f>ROUND(AB10,2)</f>
        <v>0</v>
      </c>
      <c r="M10" s="14">
        <f t="shared" si="0"/>
        <v>79.56</v>
      </c>
      <c r="N10" s="14">
        <v>25</v>
      </c>
      <c r="O10" s="14"/>
      <c r="P10" s="14">
        <f t="shared" si="1"/>
        <v>104.56</v>
      </c>
      <c r="Q10" s="15">
        <f t="shared" si="2"/>
        <v>1486.64</v>
      </c>
      <c r="R10" s="63"/>
      <c r="S10" s="19"/>
      <c r="U10" s="152">
        <f t="shared" si="3"/>
        <v>19094</v>
      </c>
      <c r="V10" s="152">
        <v>0</v>
      </c>
      <c r="W10" s="39">
        <f>IF(U10-V10&lt;1,0,U10-V10)</f>
        <v>19094</v>
      </c>
      <c r="X10" s="38">
        <f t="shared" si="4"/>
        <v>0</v>
      </c>
      <c r="Y10" s="38">
        <f t="shared" si="5"/>
        <v>0</v>
      </c>
      <c r="Z10" s="38">
        <f t="shared" si="6"/>
        <v>0</v>
      </c>
      <c r="AA10" s="38"/>
      <c r="AB10" s="38">
        <f>SUM(X10:AA10)/12</f>
        <v>0</v>
      </c>
      <c r="AF10" s="38"/>
      <c r="AK10">
        <v>184</v>
      </c>
      <c r="AL10">
        <f t="shared" ref="AL10:AL23" si="7">AK10+10</f>
        <v>194</v>
      </c>
    </row>
    <row r="11" spans="1:38" ht="18" customHeight="1" outlineLevel="1" x14ac:dyDescent="0.25">
      <c r="A11" s="61" t="s">
        <v>227</v>
      </c>
      <c r="B11" s="50"/>
      <c r="C11" s="10"/>
      <c r="D11" s="10"/>
      <c r="E11" s="65"/>
      <c r="F11" s="204"/>
      <c r="G11" s="15">
        <v>1200</v>
      </c>
      <c r="H11" s="112"/>
      <c r="I11" s="14"/>
      <c r="J11" s="14"/>
      <c r="K11" s="15">
        <f t="shared" ref="K11:K15" si="8">SUM(G11:J11)</f>
        <v>1200</v>
      </c>
      <c r="L11" s="14">
        <f>ROUND(AB11,2)</f>
        <v>0</v>
      </c>
      <c r="M11" s="14">
        <f t="shared" si="0"/>
        <v>60</v>
      </c>
      <c r="N11" s="14"/>
      <c r="O11" s="14"/>
      <c r="P11" s="14">
        <f t="shared" si="1"/>
        <v>60</v>
      </c>
      <c r="Q11" s="15">
        <f t="shared" si="2"/>
        <v>1140</v>
      </c>
      <c r="R11" s="63"/>
      <c r="S11" s="204"/>
      <c r="U11" s="152">
        <f t="shared" si="3"/>
        <v>14400</v>
      </c>
      <c r="V11" s="152">
        <v>0</v>
      </c>
      <c r="W11" s="39">
        <f>IF(U11-V11&lt;1,0,U11-V11)</f>
        <v>14400</v>
      </c>
      <c r="X11" s="38">
        <f t="shared" si="4"/>
        <v>0</v>
      </c>
      <c r="Y11" s="38">
        <f t="shared" si="5"/>
        <v>0</v>
      </c>
      <c r="Z11" s="38">
        <f t="shared" si="6"/>
        <v>0</v>
      </c>
      <c r="AA11" s="38"/>
      <c r="AB11" s="38">
        <f>SUM(X11:AA11)/12</f>
        <v>0</v>
      </c>
      <c r="AF11" s="83">
        <f>IF(I11&lt;500,0,I11-500)</f>
        <v>0</v>
      </c>
      <c r="AK11">
        <v>222</v>
      </c>
    </row>
    <row r="12" spans="1:38" s="54" customFormat="1" ht="18" customHeight="1" x14ac:dyDescent="0.2">
      <c r="A12" s="61" t="s">
        <v>229</v>
      </c>
      <c r="B12" s="52"/>
      <c r="C12" s="53"/>
      <c r="D12" s="53"/>
      <c r="E12" s="6"/>
      <c r="F12" s="6"/>
      <c r="G12" s="207">
        <v>1000</v>
      </c>
      <c r="H12" s="112"/>
      <c r="I12" s="16"/>
      <c r="J12" s="16"/>
      <c r="K12" s="15">
        <f t="shared" si="8"/>
        <v>1000</v>
      </c>
      <c r="L12" s="14">
        <f t="shared" ref="L12:L15" si="9">ROUND(AB12,2)</f>
        <v>0</v>
      </c>
      <c r="M12" s="14">
        <f t="shared" si="0"/>
        <v>50</v>
      </c>
      <c r="N12" s="14"/>
      <c r="O12" s="14"/>
      <c r="P12" s="14">
        <f t="shared" si="1"/>
        <v>50</v>
      </c>
      <c r="Q12" s="15">
        <f t="shared" si="2"/>
        <v>950</v>
      </c>
      <c r="R12" s="19"/>
      <c r="S12" s="19"/>
      <c r="U12" s="152">
        <f t="shared" si="3"/>
        <v>12000</v>
      </c>
      <c r="V12" s="152">
        <v>0</v>
      </c>
      <c r="W12" s="39">
        <f>IF(U12-V12&lt;1,0,U12-V12)</f>
        <v>12000</v>
      </c>
      <c r="X12" s="57">
        <f t="shared" si="4"/>
        <v>0</v>
      </c>
      <c r="Y12" s="57">
        <f t="shared" si="5"/>
        <v>0</v>
      </c>
      <c r="Z12" s="57">
        <f t="shared" si="6"/>
        <v>0</v>
      </c>
      <c r="AA12" s="57"/>
      <c r="AB12" s="38">
        <f>SUM(X12:AA12)/12</f>
        <v>0</v>
      </c>
      <c r="AF12" s="57"/>
    </row>
    <row r="13" spans="1:38" ht="18" customHeight="1" outlineLevel="1" x14ac:dyDescent="0.2">
      <c r="A13" s="61" t="s">
        <v>230</v>
      </c>
      <c r="B13" s="50">
        <v>23785</v>
      </c>
      <c r="C13" s="10" t="s">
        <v>124</v>
      </c>
      <c r="D13" s="10" t="s">
        <v>48</v>
      </c>
      <c r="E13" s="6"/>
      <c r="F13" s="6"/>
      <c r="G13" s="15">
        <v>934.42</v>
      </c>
      <c r="H13" s="112"/>
      <c r="I13" s="14"/>
      <c r="J13" s="14"/>
      <c r="K13" s="15">
        <f t="shared" si="8"/>
        <v>934.42</v>
      </c>
      <c r="L13" s="14">
        <f t="shared" si="9"/>
        <v>0</v>
      </c>
      <c r="M13" s="14">
        <f t="shared" si="0"/>
        <v>46.72</v>
      </c>
      <c r="N13" s="14">
        <v>15</v>
      </c>
      <c r="O13" s="14"/>
      <c r="P13" s="14">
        <f t="shared" si="1"/>
        <v>61.72</v>
      </c>
      <c r="Q13" s="15">
        <f t="shared" si="2"/>
        <v>872.69999999999993</v>
      </c>
      <c r="R13" s="19"/>
      <c r="S13" s="19"/>
      <c r="U13" s="152">
        <f t="shared" si="3"/>
        <v>11213</v>
      </c>
      <c r="V13" s="152">
        <v>0</v>
      </c>
      <c r="W13" s="39">
        <f t="shared" ref="W13:W14" si="10">IF(U13-V13&lt;1,0,U13-V13)</f>
        <v>11213</v>
      </c>
      <c r="X13" s="38">
        <f t="shared" si="4"/>
        <v>0</v>
      </c>
      <c r="Y13" s="38">
        <f t="shared" si="5"/>
        <v>0</v>
      </c>
      <c r="Z13" s="38">
        <f t="shared" si="6"/>
        <v>0</v>
      </c>
      <c r="AA13" s="38"/>
      <c r="AB13" s="38">
        <f t="shared" ref="AB13:AB14" si="11">SUM(X13:AA13)/12</f>
        <v>0</v>
      </c>
      <c r="AF13" s="38">
        <f>IF(I13&lt;500,0,I13-500)</f>
        <v>0</v>
      </c>
      <c r="AK13">
        <v>184</v>
      </c>
      <c r="AL13">
        <f t="shared" si="7"/>
        <v>194</v>
      </c>
    </row>
    <row r="14" spans="1:38" ht="18" customHeight="1" outlineLevel="1" x14ac:dyDescent="0.2">
      <c r="A14" s="61" t="s">
        <v>235</v>
      </c>
      <c r="B14" s="50">
        <v>30915</v>
      </c>
      <c r="C14" s="12" t="s">
        <v>57</v>
      </c>
      <c r="D14" s="12" t="s">
        <v>48</v>
      </c>
      <c r="E14" s="6"/>
      <c r="F14" s="19"/>
      <c r="G14" s="15">
        <v>800</v>
      </c>
      <c r="H14" s="112"/>
      <c r="I14" s="112"/>
      <c r="J14" s="14"/>
      <c r="K14" s="15">
        <f t="shared" si="8"/>
        <v>800</v>
      </c>
      <c r="L14" s="14">
        <f t="shared" si="9"/>
        <v>0</v>
      </c>
      <c r="M14" s="14">
        <f t="shared" si="0"/>
        <v>40</v>
      </c>
      <c r="N14" s="14"/>
      <c r="O14" s="14"/>
      <c r="P14" s="14">
        <f t="shared" si="1"/>
        <v>40</v>
      </c>
      <c r="Q14" s="15">
        <f t="shared" si="2"/>
        <v>760</v>
      </c>
      <c r="R14" s="19"/>
      <c r="S14" s="19"/>
      <c r="U14" s="152">
        <f t="shared" si="3"/>
        <v>9600</v>
      </c>
      <c r="V14" s="152">
        <v>0</v>
      </c>
      <c r="W14" s="39">
        <f t="shared" si="10"/>
        <v>9600</v>
      </c>
      <c r="X14" s="38">
        <f t="shared" si="4"/>
        <v>0</v>
      </c>
      <c r="Y14" s="38">
        <f t="shared" si="5"/>
        <v>0</v>
      </c>
      <c r="Z14" s="38">
        <f t="shared" si="6"/>
        <v>0</v>
      </c>
      <c r="AA14" s="38"/>
      <c r="AB14" s="38">
        <f t="shared" si="11"/>
        <v>0</v>
      </c>
      <c r="AF14" s="38">
        <f>IF(I14&lt;500,0,I14-500)</f>
        <v>0</v>
      </c>
      <c r="AK14">
        <v>184</v>
      </c>
      <c r="AL14">
        <f t="shared" si="7"/>
        <v>194</v>
      </c>
    </row>
    <row r="15" spans="1:38" s="54" customFormat="1" ht="18" customHeight="1" x14ac:dyDescent="0.2">
      <c r="A15" s="61" t="s">
        <v>247</v>
      </c>
      <c r="B15" s="52"/>
      <c r="C15" s="53"/>
      <c r="D15" s="53"/>
      <c r="E15" s="6"/>
      <c r="F15" s="6"/>
      <c r="G15" s="114"/>
      <c r="H15" s="237"/>
      <c r="I15" s="114"/>
      <c r="J15" s="114"/>
      <c r="K15" s="15">
        <f t="shared" si="8"/>
        <v>0</v>
      </c>
      <c r="L15" s="14">
        <f t="shared" si="9"/>
        <v>0</v>
      </c>
      <c r="M15" s="14">
        <f t="shared" si="0"/>
        <v>0</v>
      </c>
      <c r="N15" s="114"/>
      <c r="O15" s="114"/>
      <c r="P15" s="14">
        <f t="shared" si="1"/>
        <v>0</v>
      </c>
      <c r="Q15" s="15">
        <f t="shared" si="2"/>
        <v>0</v>
      </c>
      <c r="R15" s="19"/>
      <c r="S15" s="19"/>
      <c r="U15" s="152"/>
      <c r="V15" s="55"/>
      <c r="W15" s="56"/>
      <c r="X15" s="57">
        <f t="shared" si="4"/>
        <v>0</v>
      </c>
      <c r="Y15" s="57">
        <f t="shared" si="5"/>
        <v>0</v>
      </c>
      <c r="Z15" s="57">
        <f t="shared" si="6"/>
        <v>0</v>
      </c>
      <c r="AA15" s="57"/>
      <c r="AB15" s="57"/>
      <c r="AF15" s="57"/>
    </row>
    <row r="16" spans="1:38" ht="18" hidden="1" customHeight="1" outlineLevel="1" x14ac:dyDescent="0.2">
      <c r="A16" s="12"/>
      <c r="B16" s="50">
        <v>18708</v>
      </c>
      <c r="C16" s="10" t="s">
        <v>51</v>
      </c>
      <c r="D16" s="10" t="s">
        <v>125</v>
      </c>
      <c r="E16" s="6"/>
      <c r="F16" s="6"/>
      <c r="G16" s="15"/>
      <c r="H16" s="112"/>
      <c r="I16" s="14"/>
      <c r="J16" s="14">
        <v>0</v>
      </c>
      <c r="K16" s="15">
        <f>SUM(G16:J16)</f>
        <v>0</v>
      </c>
      <c r="L16" s="14">
        <f>ROUND(AB16,2)</f>
        <v>0</v>
      </c>
      <c r="M16" s="14">
        <f>ROUND(IF(SUM(G16:H16,J16,AF16)*5%&gt;250,250,SUM(G16:H16,J16,AF16)*5%),2)</f>
        <v>0</v>
      </c>
      <c r="N16" s="14"/>
      <c r="O16" s="14"/>
      <c r="P16" s="14">
        <f t="shared" si="1"/>
        <v>0</v>
      </c>
      <c r="Q16" s="15" t="e">
        <f>K16-P16+#REF!</f>
        <v>#REF!</v>
      </c>
      <c r="R16" s="19"/>
      <c r="S16" s="64"/>
      <c r="U16" s="152">
        <f>ROUND(G16*12+H16*12+I16*12+J16*12,0)</f>
        <v>0</v>
      </c>
      <c r="V16" s="36">
        <f>ROUND(E16*100+IF(I16*12&gt;6000,6000,I16*12)+M16*12,0)</f>
        <v>0</v>
      </c>
      <c r="W16" s="39">
        <f>IF(U16-V16&lt;1,0,U16-V16)</f>
        <v>0</v>
      </c>
      <c r="X16" s="38">
        <f>IF($W16&gt;10000,10000,$W16)*X$7</f>
        <v>0</v>
      </c>
      <c r="Y16" s="38">
        <f t="shared" ref="Y16" si="12">IF($W16&gt;10000,IF($W16&gt;20000,IF($W16&gt;1,10000),$W16-10000),0)*Y$8</f>
        <v>0</v>
      </c>
      <c r="Z16" s="38">
        <f t="shared" ref="Z16" si="13">IF($W16&gt;20000,IF($W16&gt;30000,IF($W16&gt;1,10000),$W16-20000),0)*Z$8</f>
        <v>0</v>
      </c>
      <c r="AA16" s="38"/>
      <c r="AB16" s="38">
        <f>SUM(X16:AA16)/12</f>
        <v>0</v>
      </c>
      <c r="AF16" s="38">
        <f t="shared" ref="AF16:AF21" si="14">IF(I16&lt;500,0,I16-500)</f>
        <v>0</v>
      </c>
      <c r="AK16">
        <v>273</v>
      </c>
      <c r="AL16">
        <f t="shared" si="7"/>
        <v>283</v>
      </c>
    </row>
    <row r="17" spans="1:38" ht="18" customHeight="1" outlineLevel="1" x14ac:dyDescent="0.2">
      <c r="B17" s="50">
        <v>21501</v>
      </c>
      <c r="C17" s="10" t="s">
        <v>63</v>
      </c>
      <c r="D17" s="10" t="s">
        <v>60</v>
      </c>
      <c r="E17" s="6"/>
      <c r="F17" s="6"/>
      <c r="G17" s="238">
        <f>SUM(G8:G15)</f>
        <v>9841.06</v>
      </c>
      <c r="H17" s="238">
        <f t="shared" ref="H17:Q17" si="15">SUM(H8:H15)</f>
        <v>0</v>
      </c>
      <c r="I17" s="238">
        <f t="shared" si="15"/>
        <v>0</v>
      </c>
      <c r="J17" s="238">
        <f t="shared" si="15"/>
        <v>0</v>
      </c>
      <c r="K17" s="241">
        <f t="shared" si="15"/>
        <v>9841.06</v>
      </c>
      <c r="L17" s="241">
        <f t="shared" si="15"/>
        <v>0</v>
      </c>
      <c r="M17" s="241">
        <f t="shared" si="15"/>
        <v>492.04999999999995</v>
      </c>
      <c r="N17" s="241">
        <f t="shared" si="15"/>
        <v>40</v>
      </c>
      <c r="O17" s="241">
        <f t="shared" si="15"/>
        <v>0</v>
      </c>
      <c r="P17" s="241">
        <f t="shared" si="15"/>
        <v>532.04999999999995</v>
      </c>
      <c r="Q17" s="241">
        <f t="shared" si="15"/>
        <v>9309.01</v>
      </c>
      <c r="R17" s="19"/>
      <c r="S17" s="19"/>
      <c r="U17" s="252"/>
      <c r="V17" s="253"/>
      <c r="W17" s="254"/>
      <c r="X17" s="255"/>
      <c r="Y17" s="255"/>
      <c r="Z17" s="255"/>
      <c r="AA17" s="255"/>
      <c r="AB17" s="255">
        <f>SUM(X17:AA17)/12</f>
        <v>0</v>
      </c>
      <c r="AF17" s="38">
        <f t="shared" si="14"/>
        <v>0</v>
      </c>
      <c r="AK17">
        <v>275</v>
      </c>
      <c r="AL17">
        <f>AK17+10</f>
        <v>285</v>
      </c>
    </row>
    <row r="18" spans="1:38" ht="18" customHeight="1" outlineLevel="1" x14ac:dyDescent="0.2">
      <c r="A18" s="256" t="s">
        <v>238</v>
      </c>
      <c r="B18" s="50">
        <v>29697</v>
      </c>
      <c r="C18" s="10" t="s">
        <v>0</v>
      </c>
      <c r="D18" s="10" t="s">
        <v>46</v>
      </c>
      <c r="E18" s="6"/>
      <c r="F18" s="6"/>
      <c r="G18" s="15"/>
      <c r="H18" s="112"/>
      <c r="I18" s="14"/>
      <c r="J18" s="14"/>
      <c r="K18" s="15"/>
      <c r="L18" s="14"/>
      <c r="M18" s="14"/>
      <c r="N18" s="14"/>
      <c r="O18" s="14"/>
      <c r="P18" s="14"/>
      <c r="Q18" s="15"/>
      <c r="R18" s="19"/>
      <c r="S18" s="19"/>
      <c r="U18" s="152"/>
      <c r="V18" s="36"/>
      <c r="W18" s="39"/>
      <c r="X18" s="38"/>
      <c r="Y18" s="38"/>
      <c r="Z18" s="38"/>
      <c r="AA18" s="38"/>
      <c r="AB18" s="38"/>
      <c r="AF18" s="38">
        <f t="shared" si="14"/>
        <v>0</v>
      </c>
      <c r="AK18">
        <v>476</v>
      </c>
      <c r="AL18">
        <v>476</v>
      </c>
    </row>
    <row r="19" spans="1:38" ht="18" customHeight="1" outlineLevel="1" x14ac:dyDescent="0.2">
      <c r="A19" s="61" t="s">
        <v>231</v>
      </c>
      <c r="B19" s="50"/>
      <c r="C19" s="10"/>
      <c r="D19" s="10"/>
      <c r="E19" s="6"/>
      <c r="F19" s="209"/>
      <c r="G19" s="15">
        <v>1500</v>
      </c>
      <c r="H19" s="112"/>
      <c r="I19" s="14"/>
      <c r="J19" s="14"/>
      <c r="K19" s="15">
        <f t="shared" ref="K19:K20" si="16">SUM(G19:J19)</f>
        <v>1500</v>
      </c>
      <c r="L19" s="14">
        <f t="shared" ref="L19:L20" si="17">ROUND(AB19,2)</f>
        <v>0</v>
      </c>
      <c r="M19" s="14">
        <f>ROUND(IF(SUM(G19:H19,J19,AF19)*5%&gt;550,550,SUM(G19:H19,J19,AF19)*5%),2)</f>
        <v>75</v>
      </c>
      <c r="N19" s="14"/>
      <c r="O19" s="14"/>
      <c r="P19" s="14">
        <f>SUM(L19:O19)</f>
        <v>75</v>
      </c>
      <c r="Q19" s="15">
        <f t="shared" ref="Q19:Q20" si="18">SUM(K19-P19)</f>
        <v>1425</v>
      </c>
      <c r="R19" s="19"/>
      <c r="S19" s="19"/>
      <c r="U19" s="152">
        <f>ROUND(G19*12+H19*12+I19*12+J19*12,0)</f>
        <v>18000</v>
      </c>
      <c r="V19" s="36">
        <v>0</v>
      </c>
      <c r="W19" s="39">
        <f t="shared" ref="W19:W20" si="19">IF(U19-V19&lt;1,0,U19-V19)</f>
        <v>18000</v>
      </c>
      <c r="X19" s="38">
        <f t="shared" ref="X19:X20" si="20">IF($W19&gt;36000,36000,$W19)*X$7</f>
        <v>0</v>
      </c>
      <c r="Y19" s="38">
        <f t="shared" ref="Y19:Y20" si="21">IF($W19&gt;36000,IF($W19&gt;50000,IF($W19&gt;1,36000),$W19-36000),0)*Y$7</f>
        <v>0</v>
      </c>
      <c r="Z19" s="38">
        <f t="shared" ref="Z19:Z20" si="22">IF($W19&gt;36000,IF($W19&gt;50000,IF($W19&gt;1,36000),$W19-50000),0)*Z$7</f>
        <v>0</v>
      </c>
      <c r="AA19" s="38"/>
      <c r="AB19" s="38">
        <f t="shared" ref="AB19:AB20" si="23">SUM(X19:AA19)/12</f>
        <v>0</v>
      </c>
      <c r="AF19" s="38">
        <f t="shared" si="14"/>
        <v>0</v>
      </c>
      <c r="AK19">
        <v>264</v>
      </c>
      <c r="AL19">
        <f t="shared" si="7"/>
        <v>274</v>
      </c>
    </row>
    <row r="20" spans="1:38" ht="18" customHeight="1" outlineLevel="1" x14ac:dyDescent="0.2">
      <c r="A20" s="61" t="s">
        <v>232</v>
      </c>
      <c r="B20" s="229"/>
      <c r="C20" s="62"/>
      <c r="D20" s="62"/>
      <c r="E20" s="65"/>
      <c r="F20" s="209"/>
      <c r="G20" s="15">
        <v>1450</v>
      </c>
      <c r="H20" s="112"/>
      <c r="I20" s="14"/>
      <c r="J20" s="14"/>
      <c r="K20" s="15">
        <f t="shared" si="16"/>
        <v>1450</v>
      </c>
      <c r="L20" s="14">
        <f t="shared" si="17"/>
        <v>0</v>
      </c>
      <c r="M20" s="14">
        <f>ROUND(IF(SUM(G20:H20,J20,AF20)*5%&gt;550,550,SUM(G20:H20,J20,AF20)*5%),2)</f>
        <v>72.5</v>
      </c>
      <c r="N20" s="14"/>
      <c r="O20" s="14"/>
      <c r="P20" s="14">
        <f>SUM(L20:O20)</f>
        <v>72.5</v>
      </c>
      <c r="Q20" s="15">
        <f t="shared" si="18"/>
        <v>1377.5</v>
      </c>
      <c r="R20" s="63"/>
      <c r="S20" s="63"/>
      <c r="U20" s="152">
        <f>ROUND(G20*12+H20*12+I20*12+J20*12,0)</f>
        <v>17400</v>
      </c>
      <c r="V20" s="36">
        <v>0</v>
      </c>
      <c r="W20" s="39">
        <f t="shared" si="19"/>
        <v>17400</v>
      </c>
      <c r="X20" s="38">
        <f t="shared" si="20"/>
        <v>0</v>
      </c>
      <c r="Y20" s="38">
        <f t="shared" si="21"/>
        <v>0</v>
      </c>
      <c r="Z20" s="38">
        <f t="shared" si="22"/>
        <v>0</v>
      </c>
      <c r="AA20" s="38"/>
      <c r="AB20" s="38">
        <f t="shared" si="23"/>
        <v>0</v>
      </c>
      <c r="AF20" s="38">
        <f t="shared" si="14"/>
        <v>0</v>
      </c>
      <c r="AK20">
        <v>197</v>
      </c>
      <c r="AL20">
        <f t="shared" si="7"/>
        <v>207</v>
      </c>
    </row>
    <row r="21" spans="1:38" ht="18" customHeight="1" outlineLevel="1" x14ac:dyDescent="0.2">
      <c r="B21" s="50"/>
      <c r="C21" s="10"/>
      <c r="D21" s="10"/>
      <c r="E21" s="6"/>
      <c r="F21" s="63"/>
      <c r="G21" s="238">
        <f>SUM(G19:G20)</f>
        <v>2950</v>
      </c>
      <c r="H21" s="239">
        <f t="shared" ref="H21:Q21" si="24">SUM(H19:H20)</f>
        <v>0</v>
      </c>
      <c r="I21" s="240">
        <f t="shared" si="24"/>
        <v>0</v>
      </c>
      <c r="J21" s="240">
        <f t="shared" si="24"/>
        <v>0</v>
      </c>
      <c r="K21" s="241">
        <f t="shared" si="24"/>
        <v>2950</v>
      </c>
      <c r="L21" s="241">
        <f t="shared" si="24"/>
        <v>0</v>
      </c>
      <c r="M21" s="241">
        <f t="shared" si="24"/>
        <v>147.5</v>
      </c>
      <c r="N21" s="241">
        <f t="shared" si="24"/>
        <v>0</v>
      </c>
      <c r="O21" s="241">
        <f t="shared" si="24"/>
        <v>0</v>
      </c>
      <c r="P21" s="241">
        <f t="shared" si="24"/>
        <v>147.5</v>
      </c>
      <c r="Q21" s="241">
        <f t="shared" si="24"/>
        <v>2802.5</v>
      </c>
      <c r="R21" s="19"/>
      <c r="S21" s="19"/>
      <c r="U21" s="36"/>
      <c r="V21" s="36"/>
      <c r="W21" s="39"/>
      <c r="X21" s="38"/>
      <c r="Y21" s="38"/>
      <c r="Z21" s="38"/>
      <c r="AA21" s="38"/>
      <c r="AB21" s="38"/>
      <c r="AF21" s="38">
        <f t="shared" si="14"/>
        <v>0</v>
      </c>
    </row>
    <row r="22" spans="1:38" s="54" customFormat="1" ht="18" customHeight="1" x14ac:dyDescent="0.2">
      <c r="A22" s="256" t="s">
        <v>239</v>
      </c>
      <c r="B22" s="52"/>
      <c r="C22" s="53"/>
      <c r="D22" s="53"/>
      <c r="E22" s="6"/>
      <c r="F22" s="6"/>
      <c r="G22" s="242"/>
      <c r="H22" s="243"/>
      <c r="I22" s="242"/>
      <c r="J22" s="242"/>
      <c r="K22" s="242"/>
      <c r="L22" s="242"/>
      <c r="M22" s="242"/>
      <c r="N22" s="242"/>
      <c r="O22" s="242"/>
      <c r="P22" s="242"/>
      <c r="Q22" s="242">
        <f t="shared" ref="Q22:Q26" si="25">SUM(K22-P22)</f>
        <v>0</v>
      </c>
      <c r="R22" s="114"/>
      <c r="S22" s="114"/>
      <c r="T22" s="114">
        <f t="shared" ref="T22" si="26">SUBTOTAL(9,T16:T19)</f>
        <v>0</v>
      </c>
      <c r="U22" s="114"/>
      <c r="V22" s="114"/>
      <c r="W22" s="114"/>
      <c r="X22" s="114"/>
      <c r="Y22" s="114"/>
      <c r="Z22" s="114"/>
      <c r="AA22" s="114"/>
      <c r="AB22" s="114"/>
      <c r="AF22" s="57"/>
      <c r="AK22">
        <v>174</v>
      </c>
      <c r="AL22">
        <f t="shared" si="7"/>
        <v>184</v>
      </c>
    </row>
    <row r="23" spans="1:38" ht="18" customHeight="1" outlineLevel="1" x14ac:dyDescent="0.2">
      <c r="A23" s="61" t="s">
        <v>233</v>
      </c>
      <c r="B23" s="50">
        <v>30309</v>
      </c>
      <c r="C23" s="10" t="s">
        <v>58</v>
      </c>
      <c r="D23" s="10" t="s">
        <v>49</v>
      </c>
      <c r="E23" s="6"/>
      <c r="F23" s="6"/>
      <c r="G23" s="15">
        <v>1591.2</v>
      </c>
      <c r="H23" s="112"/>
      <c r="I23" s="14"/>
      <c r="J23" s="14"/>
      <c r="K23" s="15">
        <f>SUM(G23:J23)</f>
        <v>1591.2</v>
      </c>
      <c r="L23" s="14">
        <f>ROUND(AB23,2)</f>
        <v>0</v>
      </c>
      <c r="M23" s="14">
        <f>ROUND(IF(SUM(G23:H23,J23,AF23)*5%&gt;550,550,SUM(G23:H23,J23,AF23)*5%),2)</f>
        <v>79.56</v>
      </c>
      <c r="N23" s="14">
        <v>25</v>
      </c>
      <c r="O23" s="14"/>
      <c r="P23" s="14">
        <f>SUM(L23:O23)</f>
        <v>104.56</v>
      </c>
      <c r="Q23" s="15">
        <f t="shared" si="25"/>
        <v>1486.64</v>
      </c>
      <c r="R23" s="19"/>
      <c r="S23" s="19"/>
      <c r="U23" s="36">
        <f>ROUND(G23*12+H23*12+I23*12+J23*12,0)</f>
        <v>19094</v>
      </c>
      <c r="V23" s="36">
        <v>0</v>
      </c>
      <c r="W23" s="39">
        <f>IF(U23-V23&lt;1,0,U23-V23)</f>
        <v>19094</v>
      </c>
      <c r="X23" s="38">
        <f t="shared" ref="X23:X25" si="27">IF($W23&gt;36000,36000,$W23)*X$7</f>
        <v>0</v>
      </c>
      <c r="Y23" s="38">
        <f t="shared" ref="Y23:Y25" si="28">IF($W23&gt;36000,IF($W23&gt;50000,IF($W23&gt;1,36000),$W23-36000),0)*Y$7</f>
        <v>0</v>
      </c>
      <c r="Z23" s="38">
        <f t="shared" ref="Z23:Z25" si="29">IF($W23&gt;36000,IF($W23&gt;50000,IF($W23&gt;1,36000),$W23-50000),0)*Z$7</f>
        <v>0</v>
      </c>
      <c r="AA23" s="38"/>
      <c r="AB23" s="38">
        <f t="shared" ref="AB23:AB25" si="30">SUM(X23:AA23)/12</f>
        <v>0</v>
      </c>
      <c r="AF23" s="38">
        <f>IF(I23&lt;500,0,I23-500)</f>
        <v>0</v>
      </c>
      <c r="AK23">
        <v>174</v>
      </c>
      <c r="AL23">
        <f t="shared" si="7"/>
        <v>184</v>
      </c>
    </row>
    <row r="24" spans="1:38" s="54" customFormat="1" ht="18" customHeight="1" x14ac:dyDescent="0.2">
      <c r="A24" s="61" t="s">
        <v>234</v>
      </c>
      <c r="B24" s="52"/>
      <c r="C24" s="53"/>
      <c r="D24" s="53"/>
      <c r="E24" s="6"/>
      <c r="F24" s="6"/>
      <c r="G24" s="114">
        <v>1224</v>
      </c>
      <c r="H24" s="237"/>
      <c r="I24" s="114"/>
      <c r="J24" s="114"/>
      <c r="K24" s="15">
        <f t="shared" ref="K24:K26" si="31">SUM(G24:J24)</f>
        <v>1224</v>
      </c>
      <c r="L24" s="114">
        <f t="shared" ref="L24" si="32">SUBTOTAL(9,L23:L23)</f>
        <v>0</v>
      </c>
      <c r="M24" s="14">
        <f>ROUND(IF(SUM(G24:H24,J24,AF24)*5%&gt;550,550,SUM(G24:H24,J24,AF24)*5%),2)</f>
        <v>61.2</v>
      </c>
      <c r="N24" s="114">
        <v>20</v>
      </c>
      <c r="O24" s="114"/>
      <c r="P24" s="114">
        <f t="shared" ref="P24:P26" si="33">SUM(L24:O24)</f>
        <v>81.2</v>
      </c>
      <c r="Q24" s="114">
        <f t="shared" si="25"/>
        <v>1142.8</v>
      </c>
      <c r="R24" s="19"/>
      <c r="S24" s="19"/>
      <c r="U24" s="36">
        <f>ROUND(G24*12+H24*12+I24*12+J24*12,0)</f>
        <v>14688</v>
      </c>
      <c r="V24" s="55">
        <v>0</v>
      </c>
      <c r="W24" s="56">
        <f>IF(U24-V24&lt;1,0,U24-V24)</f>
        <v>14688</v>
      </c>
      <c r="X24" s="57">
        <f t="shared" si="27"/>
        <v>0</v>
      </c>
      <c r="Y24" s="57">
        <f t="shared" si="28"/>
        <v>0</v>
      </c>
      <c r="Z24" s="57">
        <f t="shared" si="29"/>
        <v>0</v>
      </c>
      <c r="AA24" s="57"/>
      <c r="AB24" s="57">
        <f t="shared" si="30"/>
        <v>0</v>
      </c>
      <c r="AF24" s="57"/>
    </row>
    <row r="25" spans="1:38" ht="18" customHeight="1" outlineLevel="1" x14ac:dyDescent="0.2">
      <c r="A25" s="61" t="s">
        <v>236</v>
      </c>
      <c r="B25" s="50">
        <v>22391</v>
      </c>
      <c r="C25" s="10" t="s">
        <v>55</v>
      </c>
      <c r="D25" s="10" t="s">
        <v>126</v>
      </c>
      <c r="E25" s="6"/>
      <c r="F25" s="6"/>
      <c r="G25" s="15">
        <v>1530.73</v>
      </c>
      <c r="H25" s="112"/>
      <c r="I25" s="14"/>
      <c r="J25" s="14"/>
      <c r="K25" s="15">
        <f t="shared" si="31"/>
        <v>1530.73</v>
      </c>
      <c r="L25" s="14">
        <f>ROUND(AB25,2)</f>
        <v>0</v>
      </c>
      <c r="M25" s="14">
        <f>ROUND(IF(SUM(G25:H25,J25,AF25)*5%&gt;550,550,SUM(G25:H25,J25,AF25)*5%),2)</f>
        <v>76.540000000000006</v>
      </c>
      <c r="N25" s="14">
        <v>25</v>
      </c>
      <c r="O25" s="14"/>
      <c r="P25" s="14">
        <f t="shared" si="33"/>
        <v>101.54</v>
      </c>
      <c r="Q25" s="15">
        <f t="shared" si="25"/>
        <v>1429.19</v>
      </c>
      <c r="R25" s="19"/>
      <c r="S25" s="19"/>
      <c r="U25" s="36">
        <f>ROUND(G25*12+H25*12+I25*12+J25*12,0)</f>
        <v>18369</v>
      </c>
      <c r="V25" s="36">
        <v>0</v>
      </c>
      <c r="W25" s="39">
        <f>IF(U25-V25&lt;1,0,U25-V25)</f>
        <v>18369</v>
      </c>
      <c r="X25" s="38">
        <f t="shared" si="27"/>
        <v>0</v>
      </c>
      <c r="Y25" s="38">
        <f t="shared" si="28"/>
        <v>0</v>
      </c>
      <c r="Z25" s="38">
        <f t="shared" si="29"/>
        <v>0</v>
      </c>
      <c r="AA25" s="38"/>
      <c r="AB25" s="38">
        <f t="shared" si="30"/>
        <v>0</v>
      </c>
      <c r="AF25" s="38">
        <f>IF(I25&lt;500,0,I25-500)</f>
        <v>0</v>
      </c>
      <c r="AK25">
        <v>275</v>
      </c>
      <c r="AL25">
        <v>273</v>
      </c>
    </row>
    <row r="26" spans="1:38" s="54" customFormat="1" ht="18" customHeight="1" x14ac:dyDescent="0.2">
      <c r="A26" s="61" t="s">
        <v>237</v>
      </c>
      <c r="B26" s="52"/>
      <c r="C26" s="53"/>
      <c r="D26" s="53"/>
      <c r="E26" s="6"/>
      <c r="F26" s="6"/>
      <c r="G26" s="247">
        <v>1000</v>
      </c>
      <c r="H26" s="248"/>
      <c r="I26" s="247"/>
      <c r="J26" s="247"/>
      <c r="K26" s="15">
        <f t="shared" si="31"/>
        <v>1000</v>
      </c>
      <c r="L26" s="247">
        <f t="shared" ref="L26" si="34">SUBTOTAL(9,L25:L25)</f>
        <v>0</v>
      </c>
      <c r="M26" s="14">
        <f>ROUND(IF(SUM(G26:H26,J26,AF26)*5%&gt;550,550,SUM(G26:H26,J26,AF26)*5%),2)</f>
        <v>50</v>
      </c>
      <c r="N26" s="247"/>
      <c r="O26" s="247"/>
      <c r="P26" s="247">
        <f t="shared" si="33"/>
        <v>50</v>
      </c>
      <c r="Q26" s="247">
        <f t="shared" si="25"/>
        <v>950</v>
      </c>
      <c r="R26" s="114"/>
      <c r="S26" s="19"/>
      <c r="U26" s="36">
        <f>ROUND(G26*12+H26*12+I26*12+J26*12,0)</f>
        <v>12000</v>
      </c>
      <c r="V26" s="55">
        <v>0</v>
      </c>
      <c r="W26" s="56">
        <f>IF(U26-V26&lt;1,0,U26-V26)</f>
        <v>12000</v>
      </c>
      <c r="X26" s="57"/>
      <c r="Y26" s="57"/>
      <c r="Z26" s="57"/>
      <c r="AA26" s="57"/>
      <c r="AB26" s="57"/>
      <c r="AF26" s="57"/>
    </row>
    <row r="27" spans="1:38" s="54" customFormat="1" ht="18" customHeight="1" x14ac:dyDescent="0.2">
      <c r="A27" s="61"/>
      <c r="B27" s="52"/>
      <c r="C27" s="53"/>
      <c r="D27" s="53"/>
      <c r="E27" s="6"/>
      <c r="F27" s="6"/>
      <c r="G27" s="249">
        <f>SUM(G23:G26)</f>
        <v>5345.93</v>
      </c>
      <c r="H27" s="250">
        <f t="shared" ref="H27:Q27" si="35">SUM(H23:H26)</f>
        <v>0</v>
      </c>
      <c r="I27" s="251">
        <f t="shared" si="35"/>
        <v>0</v>
      </c>
      <c r="J27" s="251">
        <f t="shared" si="35"/>
        <v>0</v>
      </c>
      <c r="K27" s="251">
        <f t="shared" si="35"/>
        <v>5345.93</v>
      </c>
      <c r="L27" s="251">
        <f t="shared" si="35"/>
        <v>0</v>
      </c>
      <c r="M27" s="251">
        <f t="shared" si="35"/>
        <v>267.3</v>
      </c>
      <c r="N27" s="251">
        <f t="shared" si="35"/>
        <v>70</v>
      </c>
      <c r="O27" s="251">
        <f t="shared" si="35"/>
        <v>0</v>
      </c>
      <c r="P27" s="251">
        <f t="shared" si="35"/>
        <v>337.3</v>
      </c>
      <c r="Q27" s="251">
        <f t="shared" si="35"/>
        <v>5008.63</v>
      </c>
      <c r="R27" s="246"/>
      <c r="S27" s="19"/>
      <c r="U27" s="55"/>
      <c r="V27" s="55"/>
      <c r="W27" s="56"/>
      <c r="X27" s="57"/>
      <c r="Y27" s="57"/>
      <c r="Z27" s="57"/>
      <c r="AA27" s="57"/>
      <c r="AB27" s="57"/>
      <c r="AF27" s="57"/>
    </row>
    <row r="28" spans="1:38" x14ac:dyDescent="0.2">
      <c r="B28" s="51"/>
      <c r="G28" s="45"/>
      <c r="H28" s="234"/>
      <c r="I28" s="45"/>
      <c r="J28" s="45"/>
      <c r="K28" s="45"/>
      <c r="L28" s="45"/>
      <c r="M28" s="45"/>
      <c r="N28" s="45"/>
      <c r="O28" s="45"/>
      <c r="P28" s="45"/>
      <c r="Q28" s="45"/>
    </row>
    <row r="29" spans="1:38" ht="13.5" thickBot="1" x14ac:dyDescent="0.25">
      <c r="A29" s="67"/>
      <c r="B29" s="51"/>
      <c r="G29" s="244">
        <f>SUM(G17,G21,G27)</f>
        <v>18136.989999999998</v>
      </c>
      <c r="H29" s="245">
        <f t="shared" ref="H29:Q29" si="36">SUM(H17,H21,H27)</f>
        <v>0</v>
      </c>
      <c r="I29" s="244">
        <f t="shared" si="36"/>
        <v>0</v>
      </c>
      <c r="J29" s="244">
        <f t="shared" si="36"/>
        <v>0</v>
      </c>
      <c r="K29" s="244">
        <f t="shared" si="36"/>
        <v>18136.989999999998</v>
      </c>
      <c r="L29" s="244">
        <f t="shared" si="36"/>
        <v>0</v>
      </c>
      <c r="M29" s="244">
        <f t="shared" si="36"/>
        <v>906.84999999999991</v>
      </c>
      <c r="N29" s="244">
        <f t="shared" si="36"/>
        <v>110</v>
      </c>
      <c r="O29" s="244">
        <f t="shared" si="36"/>
        <v>0</v>
      </c>
      <c r="P29" s="244">
        <f t="shared" si="36"/>
        <v>1016.8499999999999</v>
      </c>
      <c r="Q29" s="244">
        <f t="shared" si="36"/>
        <v>17120.14</v>
      </c>
    </row>
    <row r="30" spans="1:38" ht="13.5" thickTop="1" x14ac:dyDescent="0.2">
      <c r="A30" s="67" t="str">
        <f>A7</f>
        <v>PRODUCTION</v>
      </c>
      <c r="B30" s="51"/>
      <c r="G30" s="279">
        <f>G17</f>
        <v>9841.06</v>
      </c>
      <c r="H30" s="43">
        <f t="shared" ref="H30:Q30" si="37">H17</f>
        <v>0</v>
      </c>
      <c r="I30" s="43">
        <f t="shared" si="37"/>
        <v>0</v>
      </c>
      <c r="J30" s="43">
        <f t="shared" si="37"/>
        <v>0</v>
      </c>
      <c r="K30" s="43">
        <f t="shared" si="37"/>
        <v>9841.06</v>
      </c>
      <c r="L30" s="43">
        <f t="shared" si="37"/>
        <v>0</v>
      </c>
      <c r="M30" s="43">
        <f t="shared" si="37"/>
        <v>492.04999999999995</v>
      </c>
      <c r="N30">
        <f t="shared" si="37"/>
        <v>40</v>
      </c>
      <c r="O30">
        <f t="shared" si="37"/>
        <v>0</v>
      </c>
      <c r="P30">
        <f t="shared" si="37"/>
        <v>532.04999999999995</v>
      </c>
      <c r="Q30" s="7">
        <f t="shared" si="37"/>
        <v>9309.01</v>
      </c>
    </row>
    <row r="31" spans="1:38" x14ac:dyDescent="0.2">
      <c r="A31" s="67" t="str">
        <f>A18</f>
        <v>ADMINISTRATION</v>
      </c>
      <c r="B31" s="51"/>
      <c r="G31" s="279">
        <f>G21</f>
        <v>2950</v>
      </c>
      <c r="H31" s="43">
        <f t="shared" ref="H31:Q31" si="38">H21</f>
        <v>0</v>
      </c>
      <c r="I31" s="43">
        <f t="shared" si="38"/>
        <v>0</v>
      </c>
      <c r="J31" s="43">
        <f t="shared" si="38"/>
        <v>0</v>
      </c>
      <c r="K31" s="43">
        <f t="shared" si="38"/>
        <v>2950</v>
      </c>
      <c r="L31" s="43">
        <f t="shared" si="38"/>
        <v>0</v>
      </c>
      <c r="M31" s="43">
        <f t="shared" si="38"/>
        <v>147.5</v>
      </c>
      <c r="N31">
        <f t="shared" si="38"/>
        <v>0</v>
      </c>
      <c r="O31">
        <f t="shared" si="38"/>
        <v>0</v>
      </c>
      <c r="P31">
        <f t="shared" si="38"/>
        <v>147.5</v>
      </c>
      <c r="Q31" s="7">
        <f t="shared" si="38"/>
        <v>2802.5</v>
      </c>
    </row>
    <row r="32" spans="1:38" ht="13.5" thickBot="1" x14ac:dyDescent="0.25">
      <c r="A32" s="67" t="str">
        <f>A22</f>
        <v>SALES</v>
      </c>
      <c r="B32" s="51"/>
      <c r="G32" s="279">
        <f>G27</f>
        <v>5345.93</v>
      </c>
      <c r="H32" s="43">
        <f t="shared" ref="H32:Q32" si="39">H27</f>
        <v>0</v>
      </c>
      <c r="I32" s="43">
        <f t="shared" si="39"/>
        <v>0</v>
      </c>
      <c r="J32" s="43">
        <f t="shared" si="39"/>
        <v>0</v>
      </c>
      <c r="K32" s="43">
        <f t="shared" si="39"/>
        <v>5345.93</v>
      </c>
      <c r="L32" s="43">
        <f t="shared" si="39"/>
        <v>0</v>
      </c>
      <c r="M32" s="43">
        <f t="shared" si="39"/>
        <v>267.3</v>
      </c>
      <c r="N32">
        <f t="shared" si="39"/>
        <v>70</v>
      </c>
      <c r="O32">
        <f t="shared" si="39"/>
        <v>0</v>
      </c>
      <c r="P32">
        <f t="shared" si="39"/>
        <v>337.3</v>
      </c>
      <c r="Q32" s="7">
        <f t="shared" si="39"/>
        <v>5008.63</v>
      </c>
    </row>
    <row r="33" spans="1:18" ht="13.5" thickBot="1" x14ac:dyDescent="0.25">
      <c r="B33" s="51"/>
      <c r="G33" s="280">
        <f>SUM(G30:G32)</f>
        <v>18136.989999999998</v>
      </c>
      <c r="H33" s="280">
        <f t="shared" ref="H33:M33" si="40">SUM(H30:H32)</f>
        <v>0</v>
      </c>
      <c r="I33" s="280">
        <f t="shared" si="40"/>
        <v>0</v>
      </c>
      <c r="J33" s="280">
        <f t="shared" si="40"/>
        <v>0</v>
      </c>
      <c r="K33" s="280">
        <f t="shared" si="40"/>
        <v>18136.989999999998</v>
      </c>
      <c r="L33" s="280">
        <f t="shared" si="40"/>
        <v>0</v>
      </c>
      <c r="M33" s="280">
        <f t="shared" si="40"/>
        <v>906.84999999999991</v>
      </c>
      <c r="N33" s="280">
        <f t="shared" ref="N33" si="41">SUM(N30:N32)</f>
        <v>110</v>
      </c>
      <c r="O33" s="280">
        <f t="shared" ref="O33" si="42">SUM(O30:O32)</f>
        <v>0</v>
      </c>
      <c r="P33" s="280">
        <f t="shared" ref="P33" si="43">SUM(P30:P32)</f>
        <v>1016.8499999999999</v>
      </c>
      <c r="Q33" s="280">
        <f t="shared" ref="Q33" si="44">SUM(Q30:Q32)</f>
        <v>17120.14</v>
      </c>
      <c r="R33" s="203"/>
    </row>
    <row r="34" spans="1:18" x14ac:dyDescent="0.2">
      <c r="B34" s="51"/>
      <c r="H34" s="43"/>
      <c r="J34"/>
    </row>
    <row r="35" spans="1:18" x14ac:dyDescent="0.2">
      <c r="B35" s="51"/>
      <c r="J35"/>
      <c r="Q35" s="113"/>
      <c r="R35" s="203"/>
    </row>
    <row r="36" spans="1:18" x14ac:dyDescent="0.2">
      <c r="B36" s="51"/>
      <c r="J36"/>
      <c r="M36" s="113"/>
    </row>
    <row r="37" spans="1:18" x14ac:dyDescent="0.2">
      <c r="B37" s="51"/>
      <c r="J37"/>
      <c r="K37" s="281">
        <f>K33*6%</f>
        <v>1088.2194</v>
      </c>
      <c r="M37" s="113">
        <f>NIS!D31</f>
        <v>906.84999999999991</v>
      </c>
    </row>
    <row r="38" spans="1:18" x14ac:dyDescent="0.2">
      <c r="B38" s="51"/>
      <c r="I38" s="1"/>
      <c r="J38"/>
    </row>
    <row r="39" spans="1:18" x14ac:dyDescent="0.2">
      <c r="A39"/>
      <c r="B39"/>
      <c r="C39"/>
      <c r="D39"/>
      <c r="E39"/>
      <c r="F39"/>
      <c r="I39" s="1"/>
      <c r="J39"/>
    </row>
    <row r="40" spans="1:18" x14ac:dyDescent="0.2">
      <c r="I40" s="1"/>
      <c r="J40"/>
      <c r="R40" s="16" t="e">
        <f>#REF!-Q40</f>
        <v>#REF!</v>
      </c>
    </row>
    <row r="41" spans="1:18" x14ac:dyDescent="0.2">
      <c r="I41" s="1"/>
      <c r="J41" s="13"/>
      <c r="K41" s="33"/>
    </row>
    <row r="42" spans="1:18" x14ac:dyDescent="0.2">
      <c r="D42" s="20"/>
    </row>
    <row r="43" spans="1:18" x14ac:dyDescent="0.2">
      <c r="D43" s="20"/>
      <c r="G43" s="43"/>
      <c r="H43" s="43"/>
      <c r="I43" s="43"/>
      <c r="J43" s="112"/>
      <c r="K43" s="43"/>
      <c r="L43" s="43"/>
      <c r="M43" s="43"/>
      <c r="N43" s="43"/>
      <c r="O43" s="43"/>
      <c r="P43" s="43"/>
      <c r="Q43" s="43"/>
    </row>
    <row r="45" spans="1:18" x14ac:dyDescent="0.2">
      <c r="M45" s="113"/>
    </row>
    <row r="46" spans="1:18" x14ac:dyDescent="0.2">
      <c r="Q46" s="42"/>
    </row>
    <row r="47" spans="1:18" x14ac:dyDescent="0.2">
      <c r="I47" s="41"/>
      <c r="J47" s="14"/>
    </row>
    <row r="48" spans="1:18" x14ac:dyDescent="0.2">
      <c r="I48" s="41"/>
      <c r="J48" s="14"/>
    </row>
    <row r="49" spans="5:10" x14ac:dyDescent="0.2">
      <c r="E49" s="10"/>
      <c r="I49" s="41"/>
      <c r="J49" s="14"/>
    </row>
    <row r="50" spans="5:10" x14ac:dyDescent="0.2">
      <c r="E50" s="10"/>
      <c r="I50" s="60"/>
      <c r="J50" s="14"/>
    </row>
    <row r="51" spans="5:10" x14ac:dyDescent="0.2">
      <c r="E51" s="10"/>
      <c r="I51" s="41"/>
      <c r="J51" s="14"/>
    </row>
    <row r="52" spans="5:10" x14ac:dyDescent="0.2">
      <c r="J52" s="58"/>
    </row>
  </sheetData>
  <mergeCells count="9">
    <mergeCell ref="AB5:AB6"/>
    <mergeCell ref="X4:AA4"/>
    <mergeCell ref="U5:U6"/>
    <mergeCell ref="V5:V6"/>
    <mergeCell ref="W5:W6"/>
    <mergeCell ref="X5:X6"/>
    <mergeCell ref="Y5:Y6"/>
    <mergeCell ref="Z5:Z6"/>
    <mergeCell ref="AA5:AA6"/>
  </mergeCells>
  <phoneticPr fontId="13" type="noConversion"/>
  <printOptions horizontalCentered="1" verticalCentered="1" gridLines="1"/>
  <pageMargins left="0" right="0" top="0" bottom="0" header="0" footer="0"/>
  <pageSetup paperSize="9" scale="55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workbookViewId="0">
      <selection activeCell="C21" sqref="C21"/>
    </sheetView>
  </sheetViews>
  <sheetFormatPr defaultRowHeight="12.75" x14ac:dyDescent="0.2"/>
  <cols>
    <col min="1" max="1" width="20.7109375" style="13" customWidth="1"/>
    <col min="2" max="3" width="20.7109375" customWidth="1"/>
  </cols>
  <sheetData>
    <row r="1" spans="1:3" ht="20.100000000000001" customHeight="1" x14ac:dyDescent="0.2">
      <c r="A1" s="294" t="s">
        <v>219</v>
      </c>
      <c r="B1" s="295"/>
      <c r="C1" s="296"/>
    </row>
    <row r="2" spans="1:3" ht="20.100000000000001" customHeight="1" x14ac:dyDescent="0.2">
      <c r="A2" s="297" t="s">
        <v>199</v>
      </c>
      <c r="B2" s="298"/>
      <c r="C2" s="299"/>
    </row>
    <row r="3" spans="1:3" ht="20.100000000000001" customHeight="1" x14ac:dyDescent="0.2">
      <c r="A3" s="293" t="s">
        <v>252</v>
      </c>
      <c r="B3" s="298"/>
      <c r="C3" s="299"/>
    </row>
    <row r="4" spans="1:3" ht="20.100000000000001" customHeight="1" x14ac:dyDescent="0.2">
      <c r="A4" s="300" t="str">
        <f>Monthly!A4</f>
        <v xml:space="preserve"> 30th April  2021</v>
      </c>
      <c r="B4" s="298"/>
      <c r="C4" s="299"/>
    </row>
    <row r="5" spans="1:3" ht="20.100000000000001" customHeight="1" x14ac:dyDescent="0.2">
      <c r="A5" s="217"/>
      <c r="B5" s="1"/>
      <c r="C5" s="210"/>
    </row>
    <row r="6" spans="1:3" ht="20.100000000000001" customHeight="1" x14ac:dyDescent="0.2">
      <c r="A6" s="311" t="s">
        <v>45</v>
      </c>
      <c r="B6" s="1"/>
      <c r="C6" s="210"/>
    </row>
    <row r="7" spans="1:3" ht="20.100000000000001" customHeight="1" x14ac:dyDescent="0.2">
      <c r="A7" s="218"/>
      <c r="B7" s="1"/>
      <c r="C7" s="210"/>
    </row>
    <row r="8" spans="1:3" ht="20.100000000000001" customHeight="1" x14ac:dyDescent="0.2">
      <c r="A8" s="219"/>
      <c r="B8" s="1"/>
      <c r="C8" s="210"/>
    </row>
    <row r="9" spans="1:3" ht="20.100000000000001" customHeight="1" x14ac:dyDescent="0.2">
      <c r="A9" s="220" t="str">
        <f>PAYE!A8</f>
        <v>Kennisha Williams</v>
      </c>
      <c r="B9" s="208"/>
      <c r="C9" s="301">
        <f>Monthly!N8</f>
        <v>0</v>
      </c>
    </row>
    <row r="10" spans="1:3" ht="20.100000000000001" customHeight="1" x14ac:dyDescent="0.2">
      <c r="A10" s="221" t="str">
        <f>PAYE!A9</f>
        <v>Alston Prince</v>
      </c>
      <c r="B10" s="208"/>
      <c r="C10" s="302">
        <f>Monthly!N9</f>
        <v>0</v>
      </c>
    </row>
    <row r="11" spans="1:3" ht="20.100000000000001" customHeight="1" x14ac:dyDescent="0.2">
      <c r="A11" s="222" t="str">
        <f>PAYE!A10</f>
        <v>Carl Smith</v>
      </c>
      <c r="B11" s="208"/>
      <c r="C11" s="302">
        <f>Monthly!N10</f>
        <v>25</v>
      </c>
    </row>
    <row r="12" spans="1:3" ht="20.100000000000001" customHeight="1" x14ac:dyDescent="0.2">
      <c r="A12" s="222" t="str">
        <f>PAYE!A11</f>
        <v>Dexter Lett</v>
      </c>
      <c r="B12" s="208"/>
      <c r="C12" s="302">
        <f>Monthly!N11</f>
        <v>0</v>
      </c>
    </row>
    <row r="13" spans="1:3" ht="20.100000000000001" customHeight="1" x14ac:dyDescent="0.2">
      <c r="A13" s="221" t="str">
        <f>PAYE!A12</f>
        <v>Kenson Baptiste</v>
      </c>
      <c r="B13" s="208"/>
      <c r="C13" s="302">
        <f>Monthly!N12</f>
        <v>0</v>
      </c>
    </row>
    <row r="14" spans="1:3" ht="20.100000000000001" customHeight="1" x14ac:dyDescent="0.2">
      <c r="A14" s="221" t="str">
        <f>PAYE!A13</f>
        <v>Peter Alexis</v>
      </c>
      <c r="B14" s="208"/>
      <c r="C14" s="302">
        <f>Monthly!N13</f>
        <v>15</v>
      </c>
    </row>
    <row r="15" spans="1:3" ht="20.100000000000001" customHeight="1" x14ac:dyDescent="0.2">
      <c r="A15" s="221" t="str">
        <f>PAYE!A14</f>
        <v>Glenderine DeRiggs</v>
      </c>
      <c r="B15" s="208"/>
      <c r="C15" s="302">
        <f>Monthly!N14</f>
        <v>0</v>
      </c>
    </row>
    <row r="16" spans="1:3" ht="20.100000000000001" customHeight="1" x14ac:dyDescent="0.2">
      <c r="A16" s="221" t="str">
        <f>PAYE!A15</f>
        <v>Veronica Alexander</v>
      </c>
      <c r="B16" s="208"/>
      <c r="C16" s="302">
        <f>Monthly!N15</f>
        <v>0</v>
      </c>
    </row>
    <row r="17" spans="1:3" ht="20.100000000000001" customHeight="1" x14ac:dyDescent="0.2">
      <c r="A17" s="221" t="str">
        <f>PAYE!A16</f>
        <v>Norris Joseph</v>
      </c>
      <c r="B17" s="208"/>
      <c r="C17" s="302">
        <f>Monthly!N19</f>
        <v>0</v>
      </c>
    </row>
    <row r="18" spans="1:3" ht="20.100000000000001" customHeight="1" x14ac:dyDescent="0.2">
      <c r="A18" s="221" t="str">
        <f>PAYE!A17</f>
        <v>Gerald Jones</v>
      </c>
      <c r="B18" s="208"/>
      <c r="C18" s="302">
        <f>Monthly!N20</f>
        <v>0</v>
      </c>
    </row>
    <row r="19" spans="1:3" ht="20.100000000000001" customHeight="1" x14ac:dyDescent="0.2">
      <c r="A19" s="221" t="str">
        <f>PAYE!A18</f>
        <v>Oscar Elcock</v>
      </c>
      <c r="B19" s="208"/>
      <c r="C19" s="302">
        <f>Monthly!N23</f>
        <v>25</v>
      </c>
    </row>
    <row r="20" spans="1:3" ht="20.100000000000001" customHeight="1" x14ac:dyDescent="0.2">
      <c r="A20" s="222" t="str">
        <f>PAYE!A19</f>
        <v>Andris Toussaint</v>
      </c>
      <c r="B20" s="208"/>
      <c r="C20" s="302">
        <f>Monthly!N24</f>
        <v>20</v>
      </c>
    </row>
    <row r="21" spans="1:3" ht="20.100000000000001" customHeight="1" x14ac:dyDescent="0.2">
      <c r="A21" s="222" t="str">
        <f>PAYE!A20</f>
        <v>Merril Modoo</v>
      </c>
      <c r="B21" s="208"/>
      <c r="C21" s="302">
        <f>Monthly!N25</f>
        <v>25</v>
      </c>
    </row>
    <row r="22" spans="1:3" ht="20.100000000000001" customHeight="1" x14ac:dyDescent="0.2">
      <c r="A22" s="222" t="str">
        <f>PAYE!A21</f>
        <v>Onika Phillip</v>
      </c>
      <c r="B22" s="208"/>
      <c r="C22" s="302">
        <f>Monthly!N26</f>
        <v>0</v>
      </c>
    </row>
    <row r="23" spans="1:3" ht="20.100000000000001" customHeight="1" thickBot="1" x14ac:dyDescent="0.25">
      <c r="A23" s="286"/>
      <c r="B23" s="287"/>
      <c r="C23" s="303"/>
    </row>
    <row r="24" spans="1:3" ht="20.100000000000001" customHeight="1" thickBot="1" x14ac:dyDescent="0.25">
      <c r="A24" s="290" t="s">
        <v>262</v>
      </c>
      <c r="B24" s="291"/>
      <c r="C24" s="304">
        <f>SUM(C9:C23)</f>
        <v>110</v>
      </c>
    </row>
    <row r="25" spans="1:3" ht="13.5" thickTop="1" x14ac:dyDescent="0.2">
      <c r="A25" s="288"/>
      <c r="B25" s="289"/>
      <c r="C25" s="292"/>
    </row>
    <row r="27" spans="1:3" x14ac:dyDescent="0.2">
      <c r="C27" s="281"/>
    </row>
  </sheetData>
  <printOptions horizontalCentered="1"/>
  <pageMargins left="0.51181102362204722" right="0.51181102362204722" top="0.9448818897637796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X219"/>
  <sheetViews>
    <sheetView zoomScale="80" zoomScaleNormal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P30" sqref="P30"/>
    </sheetView>
  </sheetViews>
  <sheetFormatPr defaultRowHeight="12.75" x14ac:dyDescent="0.2"/>
  <cols>
    <col min="1" max="1" width="25.5703125" customWidth="1"/>
    <col min="2" max="2" width="12.42578125" customWidth="1"/>
    <col min="3" max="3" width="8.28515625" customWidth="1"/>
    <col min="4" max="4" width="11.140625" style="16" customWidth="1"/>
    <col min="5" max="5" width="2.7109375" style="16" customWidth="1"/>
    <col min="6" max="7" width="13.140625" style="16" customWidth="1"/>
    <col min="8" max="8" width="11.42578125" style="16" customWidth="1"/>
    <col min="9" max="9" width="2.7109375" style="16" customWidth="1"/>
    <col min="10" max="10" width="13.140625" style="16" customWidth="1"/>
    <col min="11" max="11" width="13.140625" style="16" hidden="1" customWidth="1"/>
    <col min="12" max="12" width="11.42578125" style="16" customWidth="1"/>
    <col min="13" max="13" width="2.7109375" style="16" customWidth="1"/>
    <col min="14" max="14" width="12.140625" style="16" customWidth="1"/>
    <col min="15" max="15" width="11.5703125" style="16" customWidth="1"/>
    <col min="16" max="16" width="11.42578125" style="16" customWidth="1"/>
    <col min="17" max="17" width="2.7109375" style="16" customWidth="1"/>
    <col min="18" max="19" width="13.140625" style="16" customWidth="1"/>
    <col min="20" max="20" width="11.42578125" style="16" customWidth="1"/>
    <col min="21" max="21" width="2.7109375" style="16" customWidth="1"/>
    <col min="22" max="22" width="13.140625" style="16" customWidth="1"/>
    <col min="23" max="23" width="8.28515625" style="16" hidden="1" customWidth="1"/>
    <col min="24" max="24" width="11.42578125" style="16" customWidth="1"/>
    <col min="25" max="25" width="2.7109375" style="16" customWidth="1"/>
    <col min="26" max="26" width="13.140625" style="16" customWidth="1"/>
    <col min="27" max="27" width="11.42578125" style="16" customWidth="1"/>
    <col min="28" max="28" width="2.7109375" style="16" customWidth="1"/>
    <col min="29" max="29" width="13.140625" style="16" customWidth="1"/>
    <col min="30" max="30" width="13.140625" style="16" hidden="1" customWidth="1"/>
    <col min="31" max="31" width="11.42578125" style="16" customWidth="1"/>
    <col min="32" max="32" width="2.7109375" style="16" customWidth="1"/>
    <col min="33" max="33" width="13.140625" style="16" customWidth="1"/>
    <col min="34" max="34" width="13.140625" style="16" hidden="1" customWidth="1"/>
    <col min="35" max="35" width="11.42578125" style="16" customWidth="1"/>
    <col min="36" max="36" width="2.7109375" style="16" customWidth="1"/>
    <col min="37" max="37" width="13.140625" style="16" customWidth="1"/>
    <col min="38" max="38" width="13.140625" style="16" hidden="1" customWidth="1"/>
    <col min="39" max="39" width="11.42578125" style="16" customWidth="1"/>
    <col min="40" max="40" width="2.7109375" style="16" customWidth="1"/>
    <col min="41" max="41" width="13.140625" style="16" customWidth="1"/>
    <col min="42" max="42" width="13.140625" style="16" hidden="1" customWidth="1"/>
    <col min="43" max="43" width="11.42578125" style="16" customWidth="1"/>
    <col min="44" max="44" width="2.7109375" style="16" customWidth="1"/>
    <col min="45" max="45" width="10.140625" style="16" customWidth="1"/>
    <col min="46" max="46" width="16" style="16" customWidth="1"/>
    <col min="47" max="47" width="11.42578125" style="16" customWidth="1"/>
    <col min="48" max="48" width="2.7109375" style="16" customWidth="1"/>
    <col min="49" max="49" width="11.140625" style="16" customWidth="1"/>
    <col min="50" max="50" width="16" style="16" hidden="1" customWidth="1"/>
    <col min="51" max="51" width="11.42578125" style="16" customWidth="1"/>
    <col min="52" max="52" width="2.7109375" style="16" customWidth="1"/>
    <col min="53" max="53" width="11.140625" style="16" customWidth="1"/>
    <col min="54" max="54" width="16" style="16" customWidth="1"/>
    <col min="55" max="55" width="11.42578125" style="16" customWidth="1"/>
    <col min="56" max="56" width="2.7109375" style="16" customWidth="1"/>
    <col min="57" max="57" width="11.140625" style="16" customWidth="1"/>
    <col min="58" max="58" width="16" style="16" customWidth="1"/>
    <col min="59" max="59" width="11.42578125" style="16" customWidth="1"/>
    <col min="60" max="60" width="2.7109375" style="16" customWidth="1"/>
    <col min="61" max="61" width="11.140625" style="16" customWidth="1"/>
    <col min="62" max="62" width="16" style="16" customWidth="1"/>
    <col min="63" max="63" width="11.42578125" style="16" customWidth="1"/>
    <col min="64" max="64" width="2.7109375" customWidth="1"/>
    <col min="65" max="65" width="11.140625" customWidth="1"/>
    <col min="66" max="66" width="16" customWidth="1"/>
    <col min="67" max="67" width="11.42578125" customWidth="1"/>
    <col min="68" max="68" width="2.7109375" customWidth="1"/>
    <col min="69" max="69" width="11.140625" customWidth="1"/>
    <col min="70" max="70" width="16" customWidth="1"/>
    <col min="71" max="71" width="11.42578125" customWidth="1"/>
    <col min="72" max="72" width="2.7109375" customWidth="1"/>
    <col min="73" max="73" width="11.140625" customWidth="1"/>
    <col min="74" max="74" width="16" customWidth="1"/>
    <col min="75" max="75" width="11.42578125" customWidth="1"/>
    <col min="76" max="76" width="2.7109375" customWidth="1"/>
    <col min="77" max="77" width="11.140625" customWidth="1"/>
    <col min="78" max="78" width="11.42578125" customWidth="1"/>
    <col min="79" max="79" width="2.7109375" customWidth="1"/>
    <col min="80" max="80" width="11.140625" hidden="1" customWidth="1"/>
    <col min="81" max="81" width="11.42578125" hidden="1" customWidth="1"/>
    <col min="82" max="82" width="2.7109375" hidden="1" customWidth="1"/>
    <col min="83" max="83" width="11.140625" customWidth="1"/>
    <col min="84" max="84" width="11.42578125" customWidth="1"/>
    <col min="85" max="85" width="2.7109375" customWidth="1"/>
    <col min="86" max="86" width="11.140625" customWidth="1"/>
    <col min="87" max="87" width="11.42578125" customWidth="1"/>
    <col min="88" max="88" width="2.7109375" customWidth="1"/>
    <col min="89" max="89" width="11.140625" customWidth="1"/>
    <col min="90" max="90" width="11.42578125" customWidth="1"/>
    <col min="91" max="91" width="2.7109375" customWidth="1"/>
    <col min="92" max="92" width="11.140625" customWidth="1"/>
    <col min="93" max="93" width="12" customWidth="1"/>
    <col min="94" max="94" width="11.42578125" style="16" customWidth="1"/>
    <col min="95" max="95" width="2.7109375" customWidth="1"/>
    <col min="96" max="97" width="11.42578125" customWidth="1"/>
    <col min="98" max="98" width="2.7109375" customWidth="1"/>
    <col min="99" max="100" width="11.42578125" customWidth="1"/>
    <col min="101" max="101" width="2.7109375" customWidth="1"/>
    <col min="102" max="102" width="16" style="30" customWidth="1"/>
  </cols>
  <sheetData>
    <row r="1" spans="1:102" x14ac:dyDescent="0.2">
      <c r="A1" s="66" t="s">
        <v>180</v>
      </c>
      <c r="B1" s="2"/>
      <c r="C1" s="2"/>
      <c r="F1" s="46"/>
      <c r="G1" s="46"/>
      <c r="J1" s="46"/>
      <c r="K1" s="46"/>
      <c r="N1" s="46"/>
      <c r="O1" s="46"/>
      <c r="R1" s="46"/>
      <c r="S1" s="46"/>
      <c r="V1" s="46"/>
      <c r="W1" s="46"/>
      <c r="Z1" s="46"/>
      <c r="AC1" s="46"/>
      <c r="AD1" s="46"/>
      <c r="AG1" s="46"/>
      <c r="AH1" s="46"/>
      <c r="AK1" s="46"/>
      <c r="AL1" s="46"/>
      <c r="AO1" s="46"/>
      <c r="AP1" s="46"/>
      <c r="AS1" s="46"/>
      <c r="AT1" s="46"/>
      <c r="AW1" s="46"/>
      <c r="AX1" s="46"/>
      <c r="BA1" s="46"/>
      <c r="BB1" s="46"/>
      <c r="BE1" s="46"/>
      <c r="BF1" s="46"/>
      <c r="BI1" s="46"/>
      <c r="BJ1" s="46"/>
      <c r="BM1" s="2"/>
      <c r="BN1" s="2"/>
      <c r="BQ1" s="2"/>
      <c r="BR1" s="2"/>
      <c r="BU1" s="2"/>
      <c r="BV1" s="2"/>
      <c r="BY1" s="2"/>
      <c r="CB1" s="2"/>
      <c r="CE1" s="2"/>
      <c r="CH1" s="2"/>
      <c r="CK1" s="2"/>
      <c r="CN1" s="2"/>
      <c r="CO1" s="2"/>
    </row>
    <row r="2" spans="1:102" ht="15" x14ac:dyDescent="0.25">
      <c r="A2" s="11" t="str">
        <f>Monthly!A2</f>
        <v xml:space="preserve">Monthly Payroll </v>
      </c>
      <c r="B2" s="11"/>
      <c r="C2" s="11"/>
      <c r="F2" s="47"/>
      <c r="G2" s="47"/>
      <c r="J2" s="47"/>
      <c r="K2" s="47"/>
      <c r="N2" s="47"/>
      <c r="O2" s="47"/>
      <c r="R2" s="47"/>
      <c r="S2" s="47"/>
      <c r="V2" s="47"/>
      <c r="W2" s="47"/>
      <c r="Z2" s="47"/>
      <c r="AC2" s="47"/>
      <c r="AD2" s="47"/>
      <c r="AG2" s="47"/>
      <c r="AH2" s="47"/>
      <c r="AK2" s="47"/>
      <c r="AL2" s="47"/>
      <c r="AO2" s="47"/>
      <c r="AP2" s="47"/>
      <c r="AS2" s="47"/>
      <c r="AT2" s="47"/>
      <c r="AW2" s="47"/>
      <c r="AX2" s="47"/>
      <c r="BA2" s="47"/>
      <c r="BB2" s="47"/>
      <c r="BE2" s="47"/>
      <c r="BF2" s="47"/>
      <c r="BI2" s="47"/>
      <c r="BJ2" s="47"/>
      <c r="BM2" s="11"/>
      <c r="BN2" s="11"/>
      <c r="BQ2" s="11"/>
      <c r="BR2" s="11"/>
      <c r="BU2" s="11"/>
      <c r="BV2" s="11"/>
      <c r="BY2" s="11"/>
      <c r="CB2" s="11"/>
      <c r="CE2" s="11"/>
      <c r="CH2" s="11"/>
      <c r="CK2" s="11"/>
      <c r="CN2" s="11"/>
      <c r="CO2" s="11"/>
    </row>
    <row r="3" spans="1:102" x14ac:dyDescent="0.2">
      <c r="A3" s="8" t="s">
        <v>42</v>
      </c>
      <c r="B3" s="8"/>
      <c r="C3" s="8"/>
      <c r="F3" s="48"/>
      <c r="G3" s="48"/>
      <c r="J3" s="48"/>
      <c r="K3" s="48"/>
      <c r="N3" s="48"/>
      <c r="O3" s="48"/>
      <c r="R3" s="48"/>
      <c r="S3" s="48"/>
      <c r="V3" s="48"/>
      <c r="W3" s="48"/>
      <c r="Z3" s="48"/>
      <c r="AC3" s="48"/>
      <c r="AD3" s="48"/>
      <c r="AG3" s="48"/>
      <c r="AH3" s="48"/>
      <c r="AK3" s="48"/>
      <c r="AL3" s="48"/>
      <c r="AO3" s="48"/>
      <c r="AP3" s="48"/>
      <c r="AS3" s="48"/>
      <c r="AT3" s="48"/>
      <c r="AW3" s="48"/>
      <c r="AX3" s="48"/>
      <c r="BA3" s="48"/>
      <c r="BB3" s="48"/>
      <c r="BE3" s="48"/>
      <c r="BF3" s="48"/>
      <c r="BI3" s="48"/>
      <c r="BJ3" s="48"/>
      <c r="BM3" s="8"/>
      <c r="BN3" s="8"/>
      <c r="BQ3" s="8"/>
      <c r="BR3" s="8"/>
      <c r="BU3" s="8"/>
      <c r="BV3" s="8"/>
      <c r="BY3" s="8"/>
      <c r="CB3" s="8"/>
      <c r="CE3" s="8"/>
      <c r="CH3" s="8"/>
      <c r="CK3" s="8"/>
      <c r="CN3" s="8"/>
      <c r="CO3" s="8"/>
    </row>
    <row r="4" spans="1:102" s="18" customFormat="1" x14ac:dyDescent="0.2">
      <c r="A4" s="34"/>
      <c r="B4" s="34"/>
      <c r="C4" s="34" t="s">
        <v>99</v>
      </c>
      <c r="D4" s="68"/>
      <c r="E4" s="68"/>
      <c r="F4" s="72"/>
      <c r="G4" s="72" t="s">
        <v>100</v>
      </c>
      <c r="H4" s="68"/>
      <c r="I4" s="68"/>
      <c r="J4" s="72"/>
      <c r="K4" s="72" t="s">
        <v>101</v>
      </c>
      <c r="L4" s="68"/>
      <c r="M4" s="68"/>
      <c r="N4" s="72"/>
      <c r="O4" s="72" t="s">
        <v>102</v>
      </c>
      <c r="P4" s="68"/>
      <c r="Q4" s="68"/>
      <c r="R4" s="72"/>
      <c r="S4" s="72" t="s">
        <v>103</v>
      </c>
      <c r="T4" s="68"/>
      <c r="U4" s="68"/>
      <c r="V4" s="72"/>
      <c r="W4" s="72" t="s">
        <v>104</v>
      </c>
      <c r="X4" s="68"/>
      <c r="Y4" s="68"/>
      <c r="Z4" s="72"/>
      <c r="AA4" s="68"/>
      <c r="AB4" s="68"/>
      <c r="AC4" s="72"/>
      <c r="AD4" s="72" t="s">
        <v>105</v>
      </c>
      <c r="AE4" s="68"/>
      <c r="AF4" s="68"/>
      <c r="AG4" s="72"/>
      <c r="AH4" s="72" t="s">
        <v>106</v>
      </c>
      <c r="AI4" s="68"/>
      <c r="AJ4" s="68"/>
      <c r="AK4" s="72"/>
      <c r="AL4" s="72" t="s">
        <v>107</v>
      </c>
      <c r="AM4" s="68"/>
      <c r="AN4" s="68"/>
      <c r="AO4" s="72"/>
      <c r="AP4" s="72" t="s">
        <v>108</v>
      </c>
      <c r="AQ4" s="68"/>
      <c r="AR4" s="68"/>
      <c r="AS4" s="72"/>
      <c r="AT4" s="72" t="s">
        <v>109</v>
      </c>
      <c r="AU4" s="68"/>
      <c r="AV4" s="68"/>
      <c r="AW4" s="72"/>
      <c r="AX4" s="72" t="s">
        <v>110</v>
      </c>
      <c r="AY4" s="68"/>
      <c r="AZ4" s="68"/>
      <c r="BA4" s="72"/>
      <c r="BB4" s="72" t="s">
        <v>111</v>
      </c>
      <c r="BC4" s="68"/>
      <c r="BD4" s="68"/>
      <c r="BE4" s="72"/>
      <c r="BF4" s="72" t="s">
        <v>112</v>
      </c>
      <c r="BG4" s="68"/>
      <c r="BH4" s="68"/>
      <c r="BI4" s="72"/>
      <c r="BJ4" s="72" t="s">
        <v>113</v>
      </c>
      <c r="BK4" s="68"/>
      <c r="BM4" s="34"/>
      <c r="BN4" s="34" t="s">
        <v>114</v>
      </c>
      <c r="BQ4" s="34"/>
      <c r="BR4" s="34" t="s">
        <v>115</v>
      </c>
      <c r="BU4" s="34"/>
      <c r="BV4" s="34" t="s">
        <v>116</v>
      </c>
      <c r="BY4" s="34"/>
      <c r="CB4" s="34"/>
      <c r="CE4" s="34"/>
      <c r="CH4" s="34"/>
      <c r="CK4" s="34"/>
      <c r="CN4" s="34"/>
      <c r="CO4" s="34" t="s">
        <v>150</v>
      </c>
      <c r="CP4" s="68"/>
    </row>
    <row r="5" spans="1:102" ht="18" customHeight="1" x14ac:dyDescent="0.2">
      <c r="A5" s="1"/>
      <c r="B5" s="348" t="s">
        <v>71</v>
      </c>
      <c r="C5" s="354"/>
      <c r="D5" s="349"/>
      <c r="F5" s="357" t="s">
        <v>64</v>
      </c>
      <c r="G5" s="358"/>
      <c r="H5" s="359"/>
      <c r="J5" s="357" t="s">
        <v>81</v>
      </c>
      <c r="K5" s="358"/>
      <c r="L5" s="359"/>
      <c r="N5" s="357" t="s">
        <v>79</v>
      </c>
      <c r="O5" s="358"/>
      <c r="P5" s="359"/>
      <c r="R5" s="357" t="s">
        <v>80</v>
      </c>
      <c r="S5" s="358"/>
      <c r="T5" s="359"/>
      <c r="V5" s="357" t="s">
        <v>83</v>
      </c>
      <c r="W5" s="358"/>
      <c r="X5" s="359"/>
      <c r="Z5" s="357" t="s">
        <v>84</v>
      </c>
      <c r="AA5" s="359"/>
      <c r="AC5" s="357" t="s">
        <v>85</v>
      </c>
      <c r="AD5" s="358"/>
      <c r="AE5" s="359"/>
      <c r="AG5" s="357" t="s">
        <v>88</v>
      </c>
      <c r="AH5" s="358"/>
      <c r="AI5" s="359"/>
      <c r="AK5" s="357" t="s">
        <v>90</v>
      </c>
      <c r="AL5" s="358"/>
      <c r="AM5" s="359"/>
      <c r="AO5" s="357" t="s">
        <v>66</v>
      </c>
      <c r="AP5" s="358"/>
      <c r="AQ5" s="359"/>
      <c r="AS5" s="357" t="s">
        <v>68</v>
      </c>
      <c r="AT5" s="358"/>
      <c r="AU5" s="359"/>
      <c r="AW5" s="357" t="s">
        <v>129</v>
      </c>
      <c r="AX5" s="358"/>
      <c r="AY5" s="359"/>
      <c r="BA5" s="357" t="s">
        <v>98</v>
      </c>
      <c r="BB5" s="358"/>
      <c r="BC5" s="359"/>
      <c r="BD5" s="76"/>
      <c r="BE5" s="357" t="s">
        <v>154</v>
      </c>
      <c r="BF5" s="358"/>
      <c r="BG5" s="359"/>
      <c r="BH5" s="76"/>
      <c r="BI5" s="357" t="s">
        <v>95</v>
      </c>
      <c r="BJ5" s="358"/>
      <c r="BK5" s="359"/>
      <c r="BL5" s="29"/>
      <c r="BM5" s="348" t="s">
        <v>96</v>
      </c>
      <c r="BN5" s="354"/>
      <c r="BO5" s="349"/>
      <c r="BP5" s="29"/>
      <c r="BQ5" s="348" t="s">
        <v>179</v>
      </c>
      <c r="BR5" s="354"/>
      <c r="BS5" s="349"/>
      <c r="BT5" s="29"/>
      <c r="BU5" s="348" t="s">
        <v>170</v>
      </c>
      <c r="BV5" s="354"/>
      <c r="BW5" s="349"/>
      <c r="BX5" s="29"/>
      <c r="BY5" s="348" t="s">
        <v>97</v>
      </c>
      <c r="BZ5" s="349"/>
      <c r="CA5" s="29"/>
      <c r="CB5" s="348" t="s">
        <v>131</v>
      </c>
      <c r="CC5" s="349"/>
      <c r="CD5" s="29"/>
      <c r="CE5" s="348" t="s">
        <v>183</v>
      </c>
      <c r="CF5" s="349"/>
      <c r="CG5" s="29"/>
      <c r="CH5" s="348" t="s">
        <v>138</v>
      </c>
      <c r="CI5" s="349"/>
      <c r="CJ5" s="29"/>
      <c r="CK5" s="348" t="s">
        <v>136</v>
      </c>
      <c r="CL5" s="349"/>
      <c r="CN5" s="348" t="s">
        <v>143</v>
      </c>
      <c r="CO5" s="354"/>
      <c r="CP5" s="349"/>
      <c r="CR5" s="348" t="s">
        <v>182</v>
      </c>
      <c r="CS5" s="349"/>
      <c r="CU5" s="348" t="s">
        <v>167</v>
      </c>
      <c r="CV5" s="349"/>
    </row>
    <row r="6" spans="1:102" ht="18" customHeight="1" x14ac:dyDescent="0.2">
      <c r="A6" s="1"/>
      <c r="B6" s="350"/>
      <c r="C6" s="355"/>
      <c r="D6" s="351"/>
      <c r="F6" s="360"/>
      <c r="G6" s="361"/>
      <c r="H6" s="362"/>
      <c r="J6" s="360"/>
      <c r="K6" s="361"/>
      <c r="L6" s="362"/>
      <c r="N6" s="360"/>
      <c r="O6" s="361"/>
      <c r="P6" s="362"/>
      <c r="R6" s="360"/>
      <c r="S6" s="361"/>
      <c r="T6" s="362"/>
      <c r="V6" s="360"/>
      <c r="W6" s="361"/>
      <c r="X6" s="362"/>
      <c r="Z6" s="360"/>
      <c r="AA6" s="362"/>
      <c r="AC6" s="360"/>
      <c r="AD6" s="361"/>
      <c r="AE6" s="362"/>
      <c r="AG6" s="360"/>
      <c r="AH6" s="361"/>
      <c r="AI6" s="362"/>
      <c r="AK6" s="360"/>
      <c r="AL6" s="361"/>
      <c r="AM6" s="362"/>
      <c r="AO6" s="360"/>
      <c r="AP6" s="361"/>
      <c r="AQ6" s="362"/>
      <c r="AS6" s="360"/>
      <c r="AT6" s="361"/>
      <c r="AU6" s="362"/>
      <c r="AW6" s="360"/>
      <c r="AX6" s="361"/>
      <c r="AY6" s="362"/>
      <c r="BA6" s="360"/>
      <c r="BB6" s="361"/>
      <c r="BC6" s="362"/>
      <c r="BD6" s="76"/>
      <c r="BE6" s="360"/>
      <c r="BF6" s="361"/>
      <c r="BG6" s="362"/>
      <c r="BH6" s="76"/>
      <c r="BI6" s="360"/>
      <c r="BJ6" s="361"/>
      <c r="BK6" s="362"/>
      <c r="BL6" s="29"/>
      <c r="BM6" s="350"/>
      <c r="BN6" s="355"/>
      <c r="BO6" s="351"/>
      <c r="BP6" s="29"/>
      <c r="BQ6" s="350"/>
      <c r="BR6" s="355"/>
      <c r="BS6" s="351"/>
      <c r="BT6" s="29"/>
      <c r="BU6" s="350"/>
      <c r="BV6" s="355"/>
      <c r="BW6" s="351"/>
      <c r="BX6" s="29"/>
      <c r="BY6" s="350"/>
      <c r="BZ6" s="351"/>
      <c r="CA6" s="29"/>
      <c r="CB6" s="350"/>
      <c r="CC6" s="351"/>
      <c r="CD6" s="29"/>
      <c r="CE6" s="350"/>
      <c r="CF6" s="351"/>
      <c r="CG6" s="29"/>
      <c r="CH6" s="350"/>
      <c r="CI6" s="351"/>
      <c r="CJ6" s="29"/>
      <c r="CK6" s="350"/>
      <c r="CL6" s="351"/>
      <c r="CN6" s="350"/>
      <c r="CO6" s="355"/>
      <c r="CP6" s="351"/>
      <c r="CR6" s="350"/>
      <c r="CS6" s="351"/>
      <c r="CU6" s="350"/>
      <c r="CV6" s="351"/>
      <c r="CX6" s="18" t="s">
        <v>12</v>
      </c>
    </row>
    <row r="7" spans="1:102" ht="18" customHeight="1" x14ac:dyDescent="0.2">
      <c r="A7" s="1"/>
      <c r="B7" s="352"/>
      <c r="C7" s="356"/>
      <c r="D7" s="353"/>
      <c r="F7" s="363"/>
      <c r="G7" s="364"/>
      <c r="H7" s="365"/>
      <c r="J7" s="363"/>
      <c r="K7" s="364"/>
      <c r="L7" s="365"/>
      <c r="N7" s="363"/>
      <c r="O7" s="364"/>
      <c r="P7" s="365"/>
      <c r="R7" s="363"/>
      <c r="S7" s="364"/>
      <c r="T7" s="365"/>
      <c r="V7" s="363"/>
      <c r="W7" s="364"/>
      <c r="X7" s="365"/>
      <c r="Z7" s="363"/>
      <c r="AA7" s="365"/>
      <c r="AC7" s="363"/>
      <c r="AD7" s="364"/>
      <c r="AE7" s="365"/>
      <c r="AG7" s="363"/>
      <c r="AH7" s="364"/>
      <c r="AI7" s="365"/>
      <c r="AK7" s="363"/>
      <c r="AL7" s="364"/>
      <c r="AM7" s="365"/>
      <c r="AO7" s="363"/>
      <c r="AP7" s="364"/>
      <c r="AQ7" s="365"/>
      <c r="AS7" s="363"/>
      <c r="AT7" s="364"/>
      <c r="AU7" s="365"/>
      <c r="AW7" s="363"/>
      <c r="AX7" s="364"/>
      <c r="AY7" s="365"/>
      <c r="BA7" s="363"/>
      <c r="BB7" s="364"/>
      <c r="BC7" s="365"/>
      <c r="BD7" s="76"/>
      <c r="BE7" s="363"/>
      <c r="BF7" s="364"/>
      <c r="BG7" s="365"/>
      <c r="BH7" s="76"/>
      <c r="BI7" s="363"/>
      <c r="BJ7" s="364"/>
      <c r="BK7" s="365"/>
      <c r="BL7" s="29"/>
      <c r="BM7" s="352"/>
      <c r="BN7" s="356"/>
      <c r="BO7" s="353"/>
      <c r="BP7" s="29"/>
      <c r="BQ7" s="352"/>
      <c r="BR7" s="356"/>
      <c r="BS7" s="353"/>
      <c r="BT7" s="29"/>
      <c r="BU7" s="352"/>
      <c r="BV7" s="356"/>
      <c r="BW7" s="353"/>
      <c r="BX7" s="29"/>
      <c r="BY7" s="352"/>
      <c r="BZ7" s="353"/>
      <c r="CA7" s="29"/>
      <c r="CB7" s="352"/>
      <c r="CC7" s="353"/>
      <c r="CD7" s="29"/>
      <c r="CE7" s="352"/>
      <c r="CF7" s="353"/>
      <c r="CG7" s="29"/>
      <c r="CH7" s="352"/>
      <c r="CI7" s="353"/>
      <c r="CJ7" s="29"/>
      <c r="CK7" s="352"/>
      <c r="CL7" s="353"/>
      <c r="CN7" s="352"/>
      <c r="CO7" s="356"/>
      <c r="CP7" s="353"/>
      <c r="CR7" s="352"/>
      <c r="CS7" s="353"/>
      <c r="CU7" s="352"/>
      <c r="CV7" s="353"/>
      <c r="CX7" s="18" t="s">
        <v>94</v>
      </c>
    </row>
    <row r="8" spans="1:102" ht="11.25" customHeight="1" x14ac:dyDescent="0.2">
      <c r="A8" s="3"/>
      <c r="B8" s="28"/>
      <c r="C8" s="28"/>
      <c r="D8" s="69"/>
      <c r="F8" s="69"/>
      <c r="G8" s="69"/>
      <c r="H8" s="69"/>
      <c r="J8" s="69"/>
      <c r="K8" s="69"/>
      <c r="L8" s="69"/>
      <c r="N8" s="69"/>
      <c r="O8" s="69"/>
      <c r="P8" s="69"/>
      <c r="R8" s="69"/>
      <c r="S8" s="69"/>
      <c r="T8" s="69"/>
      <c r="V8" s="69"/>
      <c r="W8" s="69"/>
      <c r="X8" s="69"/>
      <c r="Z8" s="69"/>
      <c r="AA8" s="69"/>
      <c r="AC8" s="69"/>
      <c r="AD8" s="69"/>
      <c r="AE8" s="69"/>
      <c r="AG8" s="69"/>
      <c r="AH8" s="69"/>
      <c r="AI8" s="69"/>
      <c r="AK8" s="69"/>
      <c r="AL8" s="69"/>
      <c r="AM8" s="69"/>
      <c r="AO8" s="69"/>
      <c r="AP8" s="69"/>
      <c r="AQ8" s="69"/>
      <c r="AS8" s="69"/>
      <c r="AT8" s="69"/>
      <c r="AU8" s="69"/>
      <c r="AW8" s="69"/>
      <c r="AX8" s="69"/>
      <c r="AY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N8" s="28"/>
      <c r="CO8" s="28"/>
      <c r="CP8" s="69"/>
      <c r="CR8" s="28"/>
      <c r="CS8" s="28"/>
      <c r="CU8" s="28"/>
      <c r="CV8" s="28"/>
    </row>
    <row r="9" spans="1:102" x14ac:dyDescent="0.2">
      <c r="A9" s="9" t="s">
        <v>45</v>
      </c>
      <c r="B9" s="3" t="s">
        <v>74</v>
      </c>
      <c r="C9" s="3" t="s">
        <v>75</v>
      </c>
      <c r="D9" s="70" t="s">
        <v>70</v>
      </c>
      <c r="E9" s="14"/>
      <c r="F9" s="40" t="s">
        <v>74</v>
      </c>
      <c r="G9" s="40" t="s">
        <v>75</v>
      </c>
      <c r="H9" s="70" t="s">
        <v>70</v>
      </c>
      <c r="I9" s="14"/>
      <c r="J9" s="40" t="s">
        <v>74</v>
      </c>
      <c r="K9" s="40" t="s">
        <v>75</v>
      </c>
      <c r="L9" s="70" t="s">
        <v>70</v>
      </c>
      <c r="M9" s="14"/>
      <c r="N9" s="40" t="s">
        <v>74</v>
      </c>
      <c r="O9" s="40" t="s">
        <v>75</v>
      </c>
      <c r="P9" s="70" t="s">
        <v>70</v>
      </c>
      <c r="Q9" s="14"/>
      <c r="R9" s="40" t="s">
        <v>74</v>
      </c>
      <c r="S9" s="40" t="s">
        <v>75</v>
      </c>
      <c r="T9" s="70" t="s">
        <v>70</v>
      </c>
      <c r="U9" s="14"/>
      <c r="V9" s="40" t="s">
        <v>74</v>
      </c>
      <c r="W9" s="40" t="s">
        <v>75</v>
      </c>
      <c r="X9" s="70" t="s">
        <v>70</v>
      </c>
      <c r="Y9" s="14"/>
      <c r="Z9" s="40" t="s">
        <v>74</v>
      </c>
      <c r="AA9" s="70" t="s">
        <v>70</v>
      </c>
      <c r="AB9" s="14"/>
      <c r="AC9" s="40" t="s">
        <v>74</v>
      </c>
      <c r="AD9" s="40" t="s">
        <v>75</v>
      </c>
      <c r="AE9" s="70" t="s">
        <v>70</v>
      </c>
      <c r="AF9" s="14"/>
      <c r="AG9" s="40" t="s">
        <v>74</v>
      </c>
      <c r="AH9" s="40" t="s">
        <v>75</v>
      </c>
      <c r="AI9" s="70" t="s">
        <v>70</v>
      </c>
      <c r="AJ9" s="14"/>
      <c r="AK9" s="40" t="s">
        <v>74</v>
      </c>
      <c r="AL9" s="40" t="s">
        <v>75</v>
      </c>
      <c r="AM9" s="70" t="s">
        <v>70</v>
      </c>
      <c r="AN9" s="14"/>
      <c r="AO9" s="40" t="s">
        <v>74</v>
      </c>
      <c r="AP9" s="40" t="s">
        <v>75</v>
      </c>
      <c r="AQ9" s="70" t="s">
        <v>70</v>
      </c>
      <c r="AR9" s="14"/>
      <c r="AS9" s="40" t="s">
        <v>74</v>
      </c>
      <c r="AT9" s="40" t="s">
        <v>75</v>
      </c>
      <c r="AU9" s="70" t="s">
        <v>70</v>
      </c>
      <c r="AV9" s="14"/>
      <c r="AW9" s="40" t="s">
        <v>74</v>
      </c>
      <c r="AX9" s="40" t="s">
        <v>75</v>
      </c>
      <c r="AY9" s="70" t="s">
        <v>70</v>
      </c>
      <c r="AZ9" s="14"/>
      <c r="BA9" s="40" t="s">
        <v>74</v>
      </c>
      <c r="BB9" s="40" t="s">
        <v>75</v>
      </c>
      <c r="BC9" s="70" t="s">
        <v>70</v>
      </c>
      <c r="BD9" s="70"/>
      <c r="BE9" s="40"/>
      <c r="BF9" s="40"/>
      <c r="BG9" s="70"/>
      <c r="BH9" s="70"/>
      <c r="BI9" s="40"/>
      <c r="BJ9" s="40"/>
      <c r="BK9" s="70"/>
      <c r="BL9" s="22"/>
      <c r="BM9" s="3"/>
      <c r="BN9" s="3"/>
      <c r="BO9" s="22"/>
      <c r="BP9" s="22"/>
      <c r="BQ9" s="3"/>
      <c r="BR9" s="3"/>
      <c r="BS9" s="22"/>
      <c r="BT9" s="22"/>
      <c r="BU9" s="3"/>
      <c r="BV9" s="3"/>
      <c r="BW9" s="22"/>
      <c r="BX9" s="22"/>
      <c r="BY9" s="3"/>
      <c r="BZ9" s="22"/>
      <c r="CA9" s="22"/>
      <c r="CB9" s="3"/>
      <c r="CC9" s="22"/>
      <c r="CD9" s="22"/>
      <c r="CE9" s="3"/>
      <c r="CF9" s="22"/>
      <c r="CG9" s="22"/>
      <c r="CH9" s="3"/>
      <c r="CI9" s="22"/>
      <c r="CJ9" s="22"/>
      <c r="CK9" s="3"/>
      <c r="CL9" s="22"/>
      <c r="CM9" s="7"/>
      <c r="CN9" s="3"/>
      <c r="CO9" s="3"/>
      <c r="CP9" s="70"/>
      <c r="CQ9" s="7"/>
      <c r="CR9" s="22"/>
      <c r="CS9" s="22"/>
      <c r="CT9" s="7"/>
      <c r="CU9" s="22"/>
      <c r="CV9" s="22"/>
      <c r="CW9" s="7"/>
    </row>
    <row r="10" spans="1:102" x14ac:dyDescent="0.2">
      <c r="A10" s="9"/>
      <c r="B10" s="23"/>
      <c r="C10" s="23"/>
      <c r="D10" s="14"/>
      <c r="E10" s="14"/>
      <c r="F10" s="73"/>
      <c r="G10" s="73"/>
      <c r="H10" s="14"/>
      <c r="I10" s="14"/>
      <c r="J10" s="73"/>
      <c r="K10" s="73"/>
      <c r="L10" s="14"/>
      <c r="M10" s="14"/>
      <c r="N10" s="73"/>
      <c r="O10" s="73"/>
      <c r="P10" s="14"/>
      <c r="Q10" s="14"/>
      <c r="R10" s="73"/>
      <c r="S10" s="73"/>
      <c r="T10" s="14"/>
      <c r="U10" s="14"/>
      <c r="V10" s="73"/>
      <c r="W10" s="73"/>
      <c r="X10" s="14"/>
      <c r="Y10" s="14"/>
      <c r="Z10" s="73"/>
      <c r="AA10" s="14"/>
      <c r="AB10" s="14"/>
      <c r="AC10" s="73"/>
      <c r="AD10" s="73"/>
      <c r="AE10" s="14"/>
      <c r="AF10" s="14"/>
      <c r="AG10" s="73"/>
      <c r="AH10" s="73"/>
      <c r="AI10" s="14"/>
      <c r="AJ10" s="14"/>
      <c r="AK10" s="73"/>
      <c r="AL10" s="73"/>
      <c r="AM10" s="14"/>
      <c r="AN10" s="14"/>
      <c r="AO10" s="73"/>
      <c r="AP10" s="73"/>
      <c r="AQ10" s="14"/>
      <c r="AR10" s="14"/>
      <c r="AS10" s="73"/>
      <c r="AT10" s="73"/>
      <c r="AU10" s="14"/>
      <c r="AV10" s="14"/>
      <c r="AW10" s="73"/>
      <c r="AX10" s="73"/>
      <c r="AY10" s="14"/>
      <c r="AZ10" s="14"/>
      <c r="BA10" s="73"/>
      <c r="BB10" s="73"/>
      <c r="BC10" s="14"/>
      <c r="BD10" s="14"/>
      <c r="BE10" s="73"/>
      <c r="BF10" s="73"/>
      <c r="BG10" s="14"/>
      <c r="BH10" s="14"/>
      <c r="BI10" s="73"/>
      <c r="BJ10" s="73"/>
      <c r="BK10" s="14"/>
      <c r="BL10" s="7"/>
      <c r="BM10" s="23"/>
      <c r="BN10" s="23"/>
      <c r="BO10" s="7"/>
      <c r="BP10" s="7"/>
      <c r="BQ10" s="23"/>
      <c r="BR10" s="23"/>
      <c r="BS10" s="7"/>
      <c r="BT10" s="7"/>
      <c r="BU10" s="23"/>
      <c r="BV10" s="23"/>
      <c r="BW10" s="7"/>
      <c r="BX10" s="7"/>
      <c r="BY10" s="23"/>
      <c r="BZ10" s="7"/>
      <c r="CA10" s="7"/>
      <c r="CB10" s="23"/>
      <c r="CC10" s="7"/>
      <c r="CD10" s="7"/>
      <c r="CE10" s="23"/>
      <c r="CF10" s="7"/>
      <c r="CG10" s="7"/>
      <c r="CH10" s="23"/>
      <c r="CI10" s="7"/>
      <c r="CJ10" s="7"/>
      <c r="CK10" s="23"/>
      <c r="CL10" s="7"/>
      <c r="CM10" s="7"/>
      <c r="CN10" s="23"/>
      <c r="CO10" s="23"/>
      <c r="CP10" s="14"/>
      <c r="CQ10" s="7"/>
      <c r="CR10" s="7"/>
      <c r="CS10" s="7"/>
      <c r="CT10" s="7"/>
      <c r="CU10" s="7"/>
      <c r="CV10" s="7"/>
      <c r="CW10" s="7"/>
    </row>
    <row r="11" spans="1:102" x14ac:dyDescent="0.2">
      <c r="A11" s="10"/>
      <c r="B11" s="24"/>
      <c r="C11" s="24"/>
      <c r="D11" s="14"/>
      <c r="E11" s="14"/>
      <c r="F11" s="25"/>
      <c r="G11" s="25"/>
      <c r="H11" s="14"/>
      <c r="I11" s="14"/>
      <c r="J11" s="25"/>
      <c r="K11" s="25"/>
      <c r="L11" s="14"/>
      <c r="M11" s="14"/>
      <c r="N11" s="25"/>
      <c r="O11" s="25"/>
      <c r="P11" s="14"/>
      <c r="Q11" s="14"/>
      <c r="R11" s="25"/>
      <c r="S11" s="25"/>
      <c r="T11" s="14"/>
      <c r="U11" s="14"/>
      <c r="V11" s="77"/>
      <c r="W11" s="25"/>
      <c r="X11" s="14"/>
      <c r="Y11" s="14"/>
      <c r="Z11" s="25"/>
      <c r="AA11" s="14"/>
      <c r="AB11" s="14"/>
      <c r="AC11" s="25"/>
      <c r="AD11" s="25"/>
      <c r="AE11" s="14"/>
      <c r="AF11" s="14"/>
      <c r="AG11" s="25"/>
      <c r="AH11" s="25"/>
      <c r="AI11" s="14"/>
      <c r="AJ11" s="14"/>
      <c r="AK11" s="25"/>
      <c r="AL11" s="25"/>
      <c r="AM11" s="14"/>
      <c r="AN11" s="14"/>
      <c r="AO11" s="25"/>
      <c r="AP11" s="25"/>
      <c r="AQ11" s="14"/>
      <c r="AR11" s="14"/>
      <c r="AS11" s="25"/>
      <c r="AT11" s="25"/>
      <c r="AU11" s="14"/>
      <c r="AV11" s="14"/>
      <c r="AW11" s="25"/>
      <c r="AX11" s="25"/>
      <c r="AY11" s="14"/>
      <c r="AZ11" s="14"/>
      <c r="BA11" s="25"/>
      <c r="BB11" s="25"/>
      <c r="BC11" s="14"/>
      <c r="BD11" s="14"/>
      <c r="BE11" s="25"/>
      <c r="BF11" s="25"/>
      <c r="BG11" s="14"/>
      <c r="BH11" s="14"/>
      <c r="BI11" s="25"/>
      <c r="BJ11" s="25"/>
      <c r="BK11" s="14"/>
      <c r="BL11" s="7"/>
      <c r="BM11" s="24"/>
      <c r="BN11" s="24"/>
      <c r="BO11" s="7"/>
      <c r="BP11" s="7"/>
      <c r="BQ11" s="24"/>
      <c r="BR11" s="24"/>
      <c r="BS11" s="7"/>
      <c r="BT11" s="7"/>
      <c r="BU11" s="24"/>
      <c r="BV11" s="24"/>
      <c r="BW11" s="7"/>
      <c r="BX11" s="7"/>
      <c r="BY11" s="24"/>
      <c r="BZ11" s="7"/>
      <c r="CA11" s="7"/>
      <c r="CB11" s="24"/>
      <c r="CC11" s="7"/>
      <c r="CD11" s="7"/>
      <c r="CE11" s="24"/>
      <c r="CF11" s="7"/>
      <c r="CG11" s="7"/>
      <c r="CH11" s="24"/>
      <c r="CI11" s="7"/>
      <c r="CJ11" s="7"/>
      <c r="CK11" s="24"/>
      <c r="CL11" s="7"/>
      <c r="CM11" s="7"/>
      <c r="CN11" s="24"/>
      <c r="CO11" s="24"/>
      <c r="CP11" s="14"/>
      <c r="CQ11" s="7"/>
      <c r="CR11" s="7"/>
      <c r="CS11" s="7"/>
      <c r="CT11" s="7"/>
      <c r="CU11" s="7"/>
      <c r="CV11" s="7"/>
      <c r="CW11" s="7"/>
      <c r="CX11" s="31"/>
    </row>
    <row r="12" spans="1:102" x14ac:dyDescent="0.2">
      <c r="A12" s="10" t="s">
        <v>28</v>
      </c>
      <c r="B12" s="24"/>
      <c r="C12" s="24"/>
      <c r="D12" s="14"/>
      <c r="E12" s="14"/>
      <c r="F12" s="25"/>
      <c r="G12" s="25"/>
      <c r="H12" s="14"/>
      <c r="I12" s="14"/>
      <c r="J12" s="25"/>
      <c r="K12" s="25"/>
      <c r="L12" s="14"/>
      <c r="M12" s="14"/>
      <c r="N12" s="25"/>
      <c r="O12" s="25"/>
      <c r="P12" s="14"/>
      <c r="Q12" s="14"/>
      <c r="R12" s="25"/>
      <c r="S12" s="25"/>
      <c r="T12" s="14"/>
      <c r="U12" s="14"/>
      <c r="V12" s="25"/>
      <c r="W12" s="25"/>
      <c r="X12" s="14"/>
      <c r="Y12" s="14"/>
      <c r="Z12" s="25"/>
      <c r="AA12" s="14"/>
      <c r="AB12" s="14"/>
      <c r="AC12" s="25"/>
      <c r="AD12" s="25"/>
      <c r="AE12" s="14"/>
      <c r="AF12" s="14"/>
      <c r="AG12" s="25"/>
      <c r="AH12" s="25"/>
      <c r="AI12" s="14"/>
      <c r="AJ12" s="14"/>
      <c r="AK12" s="25"/>
      <c r="AL12" s="25"/>
      <c r="AM12" s="14"/>
      <c r="AN12" s="14"/>
      <c r="AO12" s="25"/>
      <c r="AP12" s="25"/>
      <c r="AQ12" s="14"/>
      <c r="AR12" s="14"/>
      <c r="AS12" s="25"/>
      <c r="AT12" s="25"/>
      <c r="AU12" s="14"/>
      <c r="AV12" s="14"/>
      <c r="AW12" s="25"/>
      <c r="AX12" s="25"/>
      <c r="AY12" s="14">
        <v>1160</v>
      </c>
      <c r="AZ12" s="14"/>
      <c r="BA12" s="25"/>
      <c r="BB12" s="25"/>
      <c r="BC12" s="14"/>
      <c r="BD12" s="14"/>
      <c r="BE12" s="25"/>
      <c r="BF12" s="25"/>
      <c r="BG12" s="14"/>
      <c r="BH12" s="14"/>
      <c r="BI12" s="25"/>
      <c r="BJ12" s="25"/>
      <c r="BK12" s="14"/>
      <c r="BL12" s="7"/>
      <c r="BM12" s="24"/>
      <c r="BN12" s="24"/>
      <c r="BO12" s="7">
        <v>295.08</v>
      </c>
      <c r="BP12" s="7"/>
      <c r="BQ12" s="24"/>
      <c r="BR12" s="24"/>
      <c r="BS12" s="7"/>
      <c r="BT12" s="7"/>
      <c r="BU12" s="24"/>
      <c r="BV12" s="24"/>
      <c r="BW12" s="7"/>
      <c r="BX12" s="7"/>
      <c r="BY12" s="24"/>
      <c r="BZ12" s="7"/>
      <c r="CA12" s="7"/>
      <c r="CB12" s="24"/>
      <c r="CC12" s="7"/>
      <c r="CD12" s="7"/>
      <c r="CE12" s="24"/>
      <c r="CF12" s="7"/>
      <c r="CG12" s="7"/>
      <c r="CH12" s="24"/>
      <c r="CI12" s="7"/>
      <c r="CJ12" s="7"/>
      <c r="CK12" s="24"/>
      <c r="CL12" s="7"/>
      <c r="CM12" s="7"/>
      <c r="CN12" s="24"/>
      <c r="CO12" s="24"/>
      <c r="CP12" s="14"/>
      <c r="CQ12" s="7"/>
      <c r="CR12" s="7"/>
      <c r="CS12" s="7"/>
      <c r="CT12" s="7"/>
      <c r="CU12" s="7"/>
      <c r="CV12" s="7"/>
      <c r="CW12" s="7"/>
      <c r="CX12" s="31">
        <f>SUM(D12,H12,L12,P12,T12,X12,AA12,AE12,AI12,AM12,AQ12,BC12,BG12,BK12,BO12,BS12,BW12,BZ12,AU12,AY12,CC12,CF12,CI12,CL12,CP12,CS12,CV12)</f>
        <v>1455.08</v>
      </c>
    </row>
    <row r="13" spans="1:102" x14ac:dyDescent="0.2">
      <c r="A13" s="10"/>
      <c r="B13" s="24"/>
      <c r="C13" s="24"/>
      <c r="D13" s="14"/>
      <c r="E13" s="14"/>
      <c r="F13" s="25"/>
      <c r="G13" s="25"/>
      <c r="H13" s="14"/>
      <c r="I13" s="14"/>
      <c r="J13" s="25"/>
      <c r="K13" s="25"/>
      <c r="L13" s="14"/>
      <c r="M13" s="14"/>
      <c r="N13" s="25"/>
      <c r="O13" s="25"/>
      <c r="P13" s="14"/>
      <c r="Q13" s="14"/>
      <c r="R13" s="25"/>
      <c r="S13" s="25"/>
      <c r="T13" s="14"/>
      <c r="U13" s="14"/>
      <c r="V13" s="25"/>
      <c r="W13" s="25"/>
      <c r="X13" s="14"/>
      <c r="Y13" s="14"/>
      <c r="Z13" s="25"/>
      <c r="AA13" s="14"/>
      <c r="AB13" s="14"/>
      <c r="AC13" s="25"/>
      <c r="AD13" s="25"/>
      <c r="AE13" s="14"/>
      <c r="AF13" s="14"/>
      <c r="AG13" s="25"/>
      <c r="AH13" s="25"/>
      <c r="AI13" s="14"/>
      <c r="AJ13" s="14"/>
      <c r="AK13" s="25"/>
      <c r="AL13" s="25"/>
      <c r="AM13" s="14"/>
      <c r="AN13" s="14"/>
      <c r="AO13" s="25"/>
      <c r="AP13" s="25"/>
      <c r="AQ13" s="14"/>
      <c r="AR13" s="14"/>
      <c r="AS13" s="25"/>
      <c r="AT13" s="25"/>
      <c r="AU13" s="14"/>
      <c r="AV13" s="14"/>
      <c r="AW13" s="25"/>
      <c r="AX13" s="25"/>
      <c r="AY13" s="14"/>
      <c r="AZ13" s="14"/>
      <c r="BA13" s="25"/>
      <c r="BB13" s="25"/>
      <c r="BC13" s="14"/>
      <c r="BD13" s="14"/>
      <c r="BE13" s="25"/>
      <c r="BF13" s="25"/>
      <c r="BG13" s="14"/>
      <c r="BH13" s="14"/>
      <c r="BI13" s="25"/>
      <c r="BJ13" s="25"/>
      <c r="BK13" s="14"/>
      <c r="BL13" s="7"/>
      <c r="BM13" s="24"/>
      <c r="BN13" s="24"/>
      <c r="BO13" s="7"/>
      <c r="BP13" s="7"/>
      <c r="BQ13" s="24"/>
      <c r="BR13" s="24"/>
      <c r="BS13" s="7"/>
      <c r="BT13" s="7"/>
      <c r="BU13" s="24"/>
      <c r="BV13" s="24"/>
      <c r="BW13" s="7"/>
      <c r="BX13" s="7"/>
      <c r="BY13" s="24"/>
      <c r="BZ13" s="7"/>
      <c r="CA13" s="7"/>
      <c r="CB13" s="24"/>
      <c r="CC13" s="7"/>
      <c r="CD13" s="7"/>
      <c r="CE13" s="24"/>
      <c r="CF13" s="7"/>
      <c r="CG13" s="7"/>
      <c r="CH13" s="24"/>
      <c r="CI13" s="7"/>
      <c r="CJ13" s="7"/>
      <c r="CK13" s="24"/>
      <c r="CL13" s="7"/>
      <c r="CM13" s="7"/>
      <c r="CN13" s="24"/>
      <c r="CO13" s="24"/>
      <c r="CP13" s="14"/>
      <c r="CQ13" s="7"/>
      <c r="CR13" s="7"/>
      <c r="CS13" s="7"/>
      <c r="CT13" s="7"/>
      <c r="CU13" s="7"/>
      <c r="CV13" s="7"/>
      <c r="CW13" s="7"/>
      <c r="CX13" s="31"/>
    </row>
    <row r="14" spans="1:102" x14ac:dyDescent="0.2">
      <c r="A14" s="62" t="s">
        <v>158</v>
      </c>
      <c r="B14" s="24"/>
      <c r="C14" s="24"/>
      <c r="D14" s="14"/>
      <c r="E14" s="14"/>
      <c r="F14" s="25"/>
      <c r="G14" s="25"/>
      <c r="H14" s="14"/>
      <c r="I14" s="14"/>
      <c r="J14" s="25"/>
      <c r="K14" s="25"/>
      <c r="L14" s="14"/>
      <c r="M14" s="14"/>
      <c r="N14" s="25"/>
      <c r="O14" s="25"/>
      <c r="P14" s="14"/>
      <c r="Q14" s="14"/>
      <c r="R14" s="25"/>
      <c r="S14" s="25"/>
      <c r="T14" s="14"/>
      <c r="U14" s="14"/>
      <c r="V14" s="25"/>
      <c r="W14" s="25"/>
      <c r="X14" s="14"/>
      <c r="Y14" s="14"/>
      <c r="Z14" s="25"/>
      <c r="AA14" s="14"/>
      <c r="AB14" s="14"/>
      <c r="AC14" s="25"/>
      <c r="AD14" s="25"/>
      <c r="AE14" s="14"/>
      <c r="AF14" s="14"/>
      <c r="AG14" s="25"/>
      <c r="AH14" s="25"/>
      <c r="AI14" s="14"/>
      <c r="AJ14" s="14"/>
      <c r="AK14" s="25"/>
      <c r="AL14" s="25"/>
      <c r="AM14" s="14"/>
      <c r="AN14" s="14"/>
      <c r="AO14" s="25"/>
      <c r="AP14" s="25"/>
      <c r="AQ14" s="14"/>
      <c r="AR14" s="14"/>
      <c r="AS14" s="25"/>
      <c r="AT14" s="25"/>
      <c r="AU14" s="14"/>
      <c r="AV14" s="14"/>
      <c r="AW14" s="25"/>
      <c r="AX14" s="25"/>
      <c r="AY14" s="14"/>
      <c r="AZ14" s="14"/>
      <c r="BA14" s="25"/>
      <c r="BB14" s="25"/>
      <c r="BC14" s="14"/>
      <c r="BD14" s="14"/>
      <c r="BE14" s="25"/>
      <c r="BF14" s="25"/>
      <c r="BG14" s="14"/>
      <c r="BH14" s="14"/>
      <c r="BI14" s="25"/>
      <c r="BJ14" s="25"/>
      <c r="BK14" s="14"/>
      <c r="BL14" s="7"/>
      <c r="BM14" s="24"/>
      <c r="BN14" s="24"/>
      <c r="BO14" s="7"/>
      <c r="BP14" s="7"/>
      <c r="BQ14" s="24"/>
      <c r="BR14" s="24"/>
      <c r="BS14" s="7"/>
      <c r="BT14" s="7"/>
      <c r="BU14" s="24"/>
      <c r="BV14" s="24"/>
      <c r="BW14" s="7"/>
      <c r="BX14" s="7"/>
      <c r="BY14" s="24"/>
      <c r="BZ14" s="7"/>
      <c r="CA14" s="7"/>
      <c r="CB14" s="24"/>
      <c r="CC14" s="7"/>
      <c r="CD14" s="7"/>
      <c r="CE14" s="24"/>
      <c r="CF14" s="7"/>
      <c r="CG14" s="7"/>
      <c r="CH14" s="24"/>
      <c r="CI14" s="7"/>
      <c r="CJ14" s="7"/>
      <c r="CK14" s="24"/>
      <c r="CL14" s="7"/>
      <c r="CM14" s="7"/>
      <c r="CN14" s="24"/>
      <c r="CO14" s="24"/>
      <c r="CP14" s="14"/>
      <c r="CQ14" s="7"/>
      <c r="CR14" s="7"/>
      <c r="CS14" s="7"/>
      <c r="CT14" s="7"/>
      <c r="CU14" s="7"/>
      <c r="CV14" s="7"/>
      <c r="CW14" s="7"/>
      <c r="CX14" s="31">
        <f>SUM(D14,H14,L14,P14,T14,X14,AA14,AE14,AI14,AM14,AQ14,BC14,BG14,BK14,BO14,BS14,BW14,BZ14,AU14,AY14,CC14,CF14,CI14,CL14,CP14,CS14,CV14)</f>
        <v>0</v>
      </c>
    </row>
    <row r="16" spans="1:102" x14ac:dyDescent="0.2">
      <c r="A16" s="10" t="s">
        <v>62</v>
      </c>
      <c r="B16" s="24"/>
      <c r="C16" s="24"/>
      <c r="D16" s="14"/>
      <c r="E16" s="14"/>
      <c r="F16" s="25"/>
      <c r="G16" s="25"/>
      <c r="H16" s="14"/>
      <c r="I16" s="14"/>
      <c r="J16" s="25"/>
      <c r="K16" s="25"/>
      <c r="L16" s="14"/>
      <c r="M16" s="14"/>
      <c r="N16" s="25"/>
      <c r="O16" s="25"/>
      <c r="P16" s="14"/>
      <c r="Q16" s="14"/>
      <c r="R16" s="25"/>
      <c r="S16" s="25"/>
      <c r="T16" s="14"/>
      <c r="U16" s="14"/>
      <c r="V16" s="25"/>
      <c r="W16" s="25"/>
      <c r="X16" s="14"/>
      <c r="Y16" s="14"/>
      <c r="Z16" s="25"/>
      <c r="AA16" s="14"/>
      <c r="AB16" s="14"/>
      <c r="AC16" s="25"/>
      <c r="AD16" s="25"/>
      <c r="AE16" s="14"/>
      <c r="AF16" s="14"/>
      <c r="AG16" s="25"/>
      <c r="AH16" s="25"/>
      <c r="AI16" s="14"/>
      <c r="AJ16" s="14"/>
      <c r="AK16" s="25"/>
      <c r="AL16" s="25"/>
      <c r="AM16" s="14"/>
      <c r="AN16" s="14"/>
      <c r="AO16" s="25"/>
      <c r="AP16" s="25"/>
      <c r="AQ16" s="14"/>
      <c r="AR16" s="14"/>
      <c r="AS16" s="77" t="s">
        <v>165</v>
      </c>
      <c r="AT16" s="77" t="s">
        <v>166</v>
      </c>
      <c r="AU16" s="80">
        <v>6000</v>
      </c>
      <c r="AV16" s="14"/>
      <c r="AW16" s="25"/>
      <c r="AX16" s="25"/>
      <c r="AY16" s="14"/>
      <c r="AZ16" s="14"/>
      <c r="BA16" s="25"/>
      <c r="BB16" s="25"/>
      <c r="BC16" s="14"/>
      <c r="BD16" s="14"/>
      <c r="BE16" s="25"/>
      <c r="BF16" s="25"/>
      <c r="BG16" s="14"/>
      <c r="BH16" s="14"/>
      <c r="BI16" s="25"/>
      <c r="BJ16" s="25"/>
      <c r="BK16" s="14"/>
      <c r="BL16" s="7"/>
      <c r="BM16" s="24"/>
      <c r="BN16" s="24"/>
      <c r="BO16" s="7"/>
      <c r="BP16" s="7"/>
      <c r="BQ16" s="24"/>
      <c r="BR16" s="24"/>
      <c r="BS16" s="7"/>
      <c r="BT16" s="7"/>
      <c r="BU16" s="24"/>
      <c r="BV16" s="24"/>
      <c r="BW16" s="7"/>
      <c r="BX16" s="7"/>
      <c r="BY16" s="24"/>
      <c r="BZ16" s="7"/>
      <c r="CA16" s="7"/>
      <c r="CB16" s="24"/>
      <c r="CC16" s="7"/>
      <c r="CD16" s="7"/>
      <c r="CE16" s="24"/>
      <c r="CF16" s="7"/>
      <c r="CG16" s="7"/>
      <c r="CH16" s="24"/>
      <c r="CI16" s="7"/>
      <c r="CJ16" s="7"/>
      <c r="CK16" s="24"/>
      <c r="CL16" s="7"/>
      <c r="CM16" s="7"/>
      <c r="CN16" s="24"/>
      <c r="CO16" s="24"/>
      <c r="CP16" s="14"/>
      <c r="CQ16" s="7"/>
      <c r="CR16" s="7"/>
      <c r="CS16" s="7"/>
      <c r="CT16" s="7"/>
      <c r="CU16" s="7"/>
      <c r="CV16" s="7"/>
      <c r="CW16" s="7"/>
      <c r="CX16" s="31">
        <f t="shared" ref="CX16:CX21" si="0">SUM(D16,H16,L16,P16,T16,X16,AA16,AE16,AI16,AM16,AQ16,BC16,BG16,BK16,BO16,BS16,BW16,BZ16,AU16,AY16,CC16,CF16,CI16,CL16,CP16,CS16,CV16)</f>
        <v>6000</v>
      </c>
    </row>
    <row r="17" spans="1:102" x14ac:dyDescent="0.2">
      <c r="A17" s="10"/>
      <c r="B17" s="24"/>
      <c r="C17" s="24"/>
      <c r="D17" s="14"/>
      <c r="E17" s="14"/>
      <c r="F17" s="25"/>
      <c r="G17" s="25"/>
      <c r="H17" s="14"/>
      <c r="I17" s="14"/>
      <c r="J17" s="25"/>
      <c r="K17" s="25"/>
      <c r="L17" s="14"/>
      <c r="M17" s="14"/>
      <c r="N17" s="25"/>
      <c r="O17" s="25"/>
      <c r="P17" s="14"/>
      <c r="Q17" s="14"/>
      <c r="R17" s="25"/>
      <c r="S17" s="25"/>
      <c r="T17" s="14"/>
      <c r="U17" s="14"/>
      <c r="V17" s="25"/>
      <c r="W17" s="25"/>
      <c r="X17" s="14"/>
      <c r="Y17" s="14"/>
      <c r="Z17" s="25"/>
      <c r="AA17" s="14"/>
      <c r="AB17" s="14"/>
      <c r="AC17" s="25"/>
      <c r="AD17" s="25"/>
      <c r="AE17" s="14"/>
      <c r="AF17" s="14"/>
      <c r="AG17" s="25"/>
      <c r="AH17" s="25"/>
      <c r="AI17" s="14"/>
      <c r="AJ17" s="14"/>
      <c r="AK17" s="25"/>
      <c r="AL17" s="25"/>
      <c r="AM17" s="14"/>
      <c r="AN17" s="14"/>
      <c r="AO17" s="25"/>
      <c r="AP17" s="25"/>
      <c r="AQ17" s="14"/>
      <c r="AR17" s="14"/>
      <c r="AS17" s="25"/>
      <c r="AT17" s="25"/>
      <c r="AU17" s="14"/>
      <c r="AV17" s="14"/>
      <c r="AW17" s="25"/>
      <c r="AX17" s="25"/>
      <c r="AY17" s="14"/>
      <c r="AZ17" s="14"/>
      <c r="BA17" s="25"/>
      <c r="BB17" s="25"/>
      <c r="BC17" s="14"/>
      <c r="BD17" s="14"/>
      <c r="BE17" s="25"/>
      <c r="BF17" s="25"/>
      <c r="BG17" s="14"/>
      <c r="BH17" s="14"/>
      <c r="BI17" s="25"/>
      <c r="BJ17" s="25"/>
      <c r="BK17" s="14"/>
      <c r="BL17" s="7"/>
      <c r="BM17" s="24"/>
      <c r="BN17" s="24"/>
      <c r="BO17" s="7"/>
      <c r="BP17" s="7"/>
      <c r="BQ17" s="24"/>
      <c r="BR17" s="24"/>
      <c r="BS17" s="7"/>
      <c r="BT17" s="7"/>
      <c r="BU17" s="24"/>
      <c r="BV17" s="24"/>
      <c r="BW17" s="7"/>
      <c r="BX17" s="7"/>
      <c r="BY17" s="24"/>
      <c r="BZ17" s="7"/>
      <c r="CA17" s="7"/>
      <c r="CB17" s="24"/>
      <c r="CC17" s="7"/>
      <c r="CD17" s="7"/>
      <c r="CE17" s="24"/>
      <c r="CF17" s="7"/>
      <c r="CG17" s="7"/>
      <c r="CH17" s="24"/>
      <c r="CI17" s="7"/>
      <c r="CJ17" s="7"/>
      <c r="CK17" s="24"/>
      <c r="CL17" s="7"/>
      <c r="CM17" s="7"/>
      <c r="CN17" s="24"/>
      <c r="CO17" s="24"/>
      <c r="CP17" s="14"/>
      <c r="CQ17" s="7"/>
      <c r="CR17" s="7"/>
      <c r="CS17" s="7"/>
      <c r="CT17" s="7"/>
      <c r="CU17" s="7"/>
      <c r="CV17" s="7"/>
      <c r="CW17" s="7"/>
      <c r="CX17" s="31"/>
    </row>
    <row r="18" spans="1:102" x14ac:dyDescent="0.2">
      <c r="A18" s="10"/>
      <c r="B18" s="24"/>
      <c r="C18" s="24"/>
      <c r="D18" s="14"/>
      <c r="E18" s="14"/>
      <c r="F18" s="25"/>
      <c r="G18" s="25"/>
      <c r="H18" s="14"/>
      <c r="I18" s="14"/>
      <c r="J18" s="25"/>
      <c r="K18" s="25"/>
      <c r="L18" s="14"/>
      <c r="M18" s="14"/>
      <c r="N18" s="25"/>
      <c r="O18" s="25"/>
      <c r="P18" s="14"/>
      <c r="Q18" s="14"/>
      <c r="R18" s="25"/>
      <c r="S18" s="25"/>
      <c r="T18" s="14"/>
      <c r="U18" s="14"/>
      <c r="V18" s="25"/>
      <c r="W18" s="25"/>
      <c r="X18" s="14"/>
      <c r="Y18" s="14"/>
      <c r="Z18" s="25"/>
      <c r="AA18" s="14"/>
      <c r="AB18" s="14"/>
      <c r="AC18" s="25"/>
      <c r="AD18" s="25"/>
      <c r="AE18" s="14"/>
      <c r="AF18" s="14"/>
      <c r="AG18" s="25"/>
      <c r="AH18" s="25"/>
      <c r="AI18" s="14"/>
      <c r="AJ18" s="14"/>
      <c r="AK18" s="25"/>
      <c r="AL18" s="25"/>
      <c r="AM18" s="14"/>
      <c r="AN18" s="14"/>
      <c r="AO18" s="25"/>
      <c r="AP18" s="25"/>
      <c r="AQ18" s="14"/>
      <c r="AR18" s="14"/>
      <c r="AS18" s="25"/>
      <c r="AT18" s="25"/>
      <c r="AU18" s="14"/>
      <c r="AV18" s="14"/>
      <c r="AW18" s="25"/>
      <c r="AX18" s="25"/>
      <c r="AY18" s="14"/>
      <c r="AZ18" s="14"/>
      <c r="BA18" s="25"/>
      <c r="BB18" s="25"/>
      <c r="BC18" s="14"/>
      <c r="BD18" s="14"/>
      <c r="BE18" s="25"/>
      <c r="BF18" s="25"/>
      <c r="BG18" s="14"/>
      <c r="BH18" s="14"/>
      <c r="BI18" s="25"/>
      <c r="BJ18" s="25"/>
      <c r="BK18" s="14"/>
      <c r="BL18" s="7"/>
      <c r="BM18" s="24"/>
      <c r="BN18" s="24"/>
      <c r="BO18" s="7"/>
      <c r="BP18" s="7"/>
      <c r="BQ18" s="24"/>
      <c r="BR18" s="24"/>
      <c r="BS18" s="7"/>
      <c r="BT18" s="7"/>
      <c r="BU18" s="24"/>
      <c r="BV18" s="24"/>
      <c r="BW18" s="7"/>
      <c r="BX18" s="7"/>
      <c r="BY18" s="24"/>
      <c r="BZ18" s="7"/>
      <c r="CA18" s="7"/>
      <c r="CB18" s="24"/>
      <c r="CC18" s="7"/>
      <c r="CD18" s="7"/>
      <c r="CE18" s="24"/>
      <c r="CF18" s="7"/>
      <c r="CG18" s="7"/>
      <c r="CH18" s="24"/>
      <c r="CI18" s="7"/>
      <c r="CJ18" s="7"/>
      <c r="CK18" s="24"/>
      <c r="CL18" s="7"/>
      <c r="CM18" s="7"/>
      <c r="CN18" s="24"/>
      <c r="CO18" s="24"/>
      <c r="CP18" s="14"/>
      <c r="CQ18" s="7"/>
      <c r="CR18" s="7"/>
      <c r="CS18" s="7"/>
      <c r="CT18" s="7"/>
      <c r="CU18" s="7"/>
      <c r="CV18" s="7"/>
      <c r="CW18" s="7"/>
      <c r="CX18" s="31"/>
    </row>
    <row r="19" spans="1:102" x14ac:dyDescent="0.2">
      <c r="A19" s="10" t="s">
        <v>29</v>
      </c>
      <c r="B19" s="24"/>
      <c r="C19" s="24"/>
      <c r="D19" s="14"/>
      <c r="E19" s="14"/>
      <c r="F19" s="25"/>
      <c r="G19" s="25"/>
      <c r="H19" s="14"/>
      <c r="I19" s="14"/>
      <c r="J19" s="25"/>
      <c r="K19" s="25"/>
      <c r="L19" s="14"/>
      <c r="M19" s="14"/>
      <c r="N19" s="25"/>
      <c r="O19" s="25"/>
      <c r="P19" s="14"/>
      <c r="Q19" s="14"/>
      <c r="R19" s="25"/>
      <c r="S19" s="25"/>
      <c r="T19" s="14"/>
      <c r="U19" s="14"/>
      <c r="V19" s="25"/>
      <c r="W19" s="25"/>
      <c r="X19" s="14"/>
      <c r="Y19" s="14"/>
      <c r="Z19" s="25"/>
      <c r="AA19" s="14"/>
      <c r="AB19" s="14"/>
      <c r="AC19" s="25" t="s">
        <v>87</v>
      </c>
      <c r="AD19" s="25"/>
      <c r="AE19" s="80">
        <v>50.06</v>
      </c>
      <c r="AF19" s="14"/>
      <c r="AG19" s="25"/>
      <c r="AH19" s="25"/>
      <c r="AI19" s="14"/>
      <c r="AJ19" s="14"/>
      <c r="AK19" s="25"/>
      <c r="AL19" s="25"/>
      <c r="AM19" s="14"/>
      <c r="AN19" s="14"/>
      <c r="AO19" s="25"/>
      <c r="AP19" s="25"/>
      <c r="AQ19" s="14"/>
      <c r="AR19" s="14"/>
      <c r="AS19" s="25" t="s">
        <v>92</v>
      </c>
      <c r="AT19" s="25" t="s">
        <v>93</v>
      </c>
      <c r="AU19" s="80">
        <v>400</v>
      </c>
      <c r="AV19" s="14"/>
      <c r="AW19" s="25"/>
      <c r="AX19" s="25"/>
      <c r="AY19" s="14">
        <f>815+65+10+110</f>
        <v>1000</v>
      </c>
      <c r="AZ19" s="14"/>
      <c r="BA19" s="25"/>
      <c r="BB19" s="25"/>
      <c r="BC19" s="14"/>
      <c r="BD19" s="14"/>
      <c r="BE19" s="25"/>
      <c r="BF19" s="25"/>
      <c r="BG19" s="14"/>
      <c r="BH19" s="14"/>
      <c r="BI19" s="25"/>
      <c r="BJ19" s="25"/>
      <c r="BK19" s="14"/>
      <c r="BL19" s="7"/>
      <c r="BM19" s="24"/>
      <c r="BN19" s="24"/>
      <c r="BO19" s="7"/>
      <c r="BP19" s="7"/>
      <c r="BQ19" s="24"/>
      <c r="BR19" s="24"/>
      <c r="BS19" s="7"/>
      <c r="BT19" s="7"/>
      <c r="BU19" s="24"/>
      <c r="BV19" s="24"/>
      <c r="BW19" s="7"/>
      <c r="BX19" s="7"/>
      <c r="BY19" s="24"/>
      <c r="BZ19" s="7">
        <v>16</v>
      </c>
      <c r="CA19" s="7"/>
      <c r="CB19" s="24"/>
      <c r="CC19" s="7"/>
      <c r="CD19" s="7"/>
      <c r="CE19" s="24"/>
      <c r="CF19" s="7"/>
      <c r="CG19" s="7"/>
      <c r="CH19" s="24"/>
      <c r="CI19" s="7"/>
      <c r="CJ19" s="7"/>
      <c r="CK19" s="24"/>
      <c r="CL19" s="7"/>
      <c r="CM19" s="7"/>
      <c r="CN19" s="24"/>
      <c r="CO19" s="24"/>
      <c r="CP19" s="14"/>
      <c r="CQ19" s="7"/>
      <c r="CR19" s="7"/>
      <c r="CS19" s="7"/>
      <c r="CT19" s="7"/>
      <c r="CU19" s="7"/>
      <c r="CV19" s="7"/>
      <c r="CW19" s="7"/>
      <c r="CX19" s="31">
        <f t="shared" si="0"/>
        <v>1466.06</v>
      </c>
    </row>
    <row r="20" spans="1:102" x14ac:dyDescent="0.2">
      <c r="A20" s="10" t="s">
        <v>36</v>
      </c>
      <c r="B20" s="24"/>
      <c r="C20" s="24"/>
      <c r="D20" s="14"/>
      <c r="E20" s="14"/>
      <c r="F20" s="25"/>
      <c r="G20" s="25"/>
      <c r="H20" s="14"/>
      <c r="I20" s="14"/>
      <c r="J20" s="25"/>
      <c r="K20" s="25"/>
      <c r="L20" s="14"/>
      <c r="M20" s="14"/>
      <c r="N20" s="25"/>
      <c r="O20" s="25"/>
      <c r="P20" s="14"/>
      <c r="Q20" s="14"/>
      <c r="R20" s="25"/>
      <c r="S20" s="25"/>
      <c r="T20" s="14"/>
      <c r="U20" s="14"/>
      <c r="V20" s="25"/>
      <c r="W20" s="25"/>
      <c r="X20" s="14"/>
      <c r="Y20" s="14"/>
      <c r="Z20" s="25"/>
      <c r="AA20" s="14"/>
      <c r="AB20" s="14"/>
      <c r="AC20" s="25"/>
      <c r="AD20" s="25"/>
      <c r="AE20" s="14"/>
      <c r="AF20" s="14"/>
      <c r="AG20" s="25"/>
      <c r="AH20" s="25"/>
      <c r="AI20" s="14"/>
      <c r="AJ20" s="14"/>
      <c r="AK20" s="25"/>
      <c r="AL20" s="25"/>
      <c r="AM20" s="14"/>
      <c r="AN20" s="14"/>
      <c r="AO20" s="25"/>
      <c r="AP20" s="25"/>
      <c r="AQ20" s="14"/>
      <c r="AR20" s="14"/>
      <c r="AS20" s="25"/>
      <c r="AT20" s="25"/>
      <c r="AU20" s="14"/>
      <c r="AV20" s="14"/>
      <c r="AW20" s="25"/>
      <c r="AX20" s="25"/>
      <c r="AY20" s="14"/>
      <c r="AZ20" s="14"/>
      <c r="BA20" s="25"/>
      <c r="BB20" s="25"/>
      <c r="BC20" s="14"/>
      <c r="BD20" s="14"/>
      <c r="BE20" s="25"/>
      <c r="BF20" s="25"/>
      <c r="BG20" s="14"/>
      <c r="BH20" s="14"/>
      <c r="BI20" s="25"/>
      <c r="BJ20" s="25"/>
      <c r="BK20" s="14"/>
      <c r="BL20" s="7"/>
      <c r="BM20" s="24"/>
      <c r="BN20" s="24"/>
      <c r="BO20" s="7"/>
      <c r="BP20" s="7"/>
      <c r="BQ20" s="24"/>
      <c r="BR20" s="24"/>
      <c r="BS20" s="7"/>
      <c r="BT20" s="7"/>
      <c r="BU20" s="24"/>
      <c r="BV20" s="24"/>
      <c r="BW20" s="7"/>
      <c r="BX20" s="7"/>
      <c r="BY20" s="24"/>
      <c r="BZ20" s="7"/>
      <c r="CA20" s="7"/>
      <c r="CB20" s="24"/>
      <c r="CC20" s="7"/>
      <c r="CD20" s="7"/>
      <c r="CE20" s="24"/>
      <c r="CF20" s="7"/>
      <c r="CG20" s="7"/>
      <c r="CH20" s="24"/>
      <c r="CI20" s="7"/>
      <c r="CJ20" s="7"/>
      <c r="CK20" s="24"/>
      <c r="CL20" s="7"/>
      <c r="CM20" s="7"/>
      <c r="CN20" s="24"/>
      <c r="CO20" s="24"/>
      <c r="CP20" s="14"/>
      <c r="CQ20" s="7"/>
      <c r="CR20" s="7"/>
      <c r="CS20" s="7"/>
      <c r="CT20" s="7"/>
      <c r="CU20" s="7"/>
      <c r="CV20" s="7"/>
      <c r="CW20" s="7"/>
      <c r="CX20" s="31">
        <f t="shared" si="0"/>
        <v>0</v>
      </c>
    </row>
    <row r="21" spans="1:102" x14ac:dyDescent="0.2">
      <c r="A21" s="10" t="s">
        <v>69</v>
      </c>
      <c r="B21" s="24"/>
      <c r="C21" s="24"/>
      <c r="D21" s="14"/>
      <c r="E21" s="14"/>
      <c r="F21" s="25"/>
      <c r="G21" s="25"/>
      <c r="H21" s="14"/>
      <c r="I21" s="14"/>
      <c r="J21" s="25"/>
      <c r="K21" s="25"/>
      <c r="L21" s="14"/>
      <c r="M21" s="14"/>
      <c r="N21" s="25"/>
      <c r="O21" s="25"/>
      <c r="P21" s="14"/>
      <c r="Q21" s="14"/>
      <c r="R21" s="25"/>
      <c r="S21" s="25"/>
      <c r="T21" s="14"/>
      <c r="U21" s="14"/>
      <c r="V21" s="25"/>
      <c r="W21" s="25"/>
      <c r="X21" s="14"/>
      <c r="Y21" s="14"/>
      <c r="Z21" s="25"/>
      <c r="AA21" s="14"/>
      <c r="AB21" s="14"/>
      <c r="AC21" s="25"/>
      <c r="AD21" s="25"/>
      <c r="AE21" s="14"/>
      <c r="AF21" s="14"/>
      <c r="AG21" s="25"/>
      <c r="AH21" s="25"/>
      <c r="AI21" s="14"/>
      <c r="AJ21" s="14"/>
      <c r="AK21" s="25"/>
      <c r="AL21" s="25"/>
      <c r="AM21" s="14"/>
      <c r="AN21" s="14"/>
      <c r="AO21" s="25"/>
      <c r="AP21" s="25"/>
      <c r="AQ21" s="14"/>
      <c r="AR21" s="14"/>
      <c r="AS21" s="25"/>
      <c r="AT21" s="25"/>
      <c r="AU21" s="14"/>
      <c r="AV21" s="14"/>
      <c r="AW21" s="25"/>
      <c r="AX21" s="25"/>
      <c r="AY21" s="14">
        <v>280</v>
      </c>
      <c r="AZ21" s="14"/>
      <c r="BA21" s="25"/>
      <c r="BB21" s="25"/>
      <c r="BC21" s="14"/>
      <c r="BD21" s="14"/>
      <c r="BE21" s="25"/>
      <c r="BF21" s="25"/>
      <c r="BG21" s="14"/>
      <c r="BH21" s="14"/>
      <c r="BI21" s="25"/>
      <c r="BJ21" s="25"/>
      <c r="BK21" s="14"/>
      <c r="BL21" s="7"/>
      <c r="BM21" s="24"/>
      <c r="BN21" s="24"/>
      <c r="BO21" s="7"/>
      <c r="BP21" s="7"/>
      <c r="BQ21" s="24"/>
      <c r="BR21" s="24"/>
      <c r="BS21" s="7"/>
      <c r="BT21" s="7"/>
      <c r="BU21" s="24"/>
      <c r="BV21" s="24"/>
      <c r="BW21" s="7"/>
      <c r="BX21" s="7"/>
      <c r="BY21" s="24"/>
      <c r="BZ21" s="7"/>
      <c r="CA21" s="7"/>
      <c r="CB21" s="24"/>
      <c r="CC21" s="7"/>
      <c r="CD21" s="7"/>
      <c r="CE21" s="24"/>
      <c r="CF21" s="7"/>
      <c r="CG21" s="7"/>
      <c r="CH21" s="24"/>
      <c r="CI21" s="7"/>
      <c r="CJ21" s="7"/>
      <c r="CK21" s="24"/>
      <c r="CL21" s="7"/>
      <c r="CM21" s="7"/>
      <c r="CN21" s="24"/>
      <c r="CO21" s="24"/>
      <c r="CP21" s="14"/>
      <c r="CQ21" s="7"/>
      <c r="CR21" s="7"/>
      <c r="CS21" s="7"/>
      <c r="CT21" s="7"/>
      <c r="CU21" s="7"/>
      <c r="CV21" s="7"/>
      <c r="CW21" s="7"/>
      <c r="CX21" s="31">
        <f t="shared" si="0"/>
        <v>280</v>
      </c>
    </row>
    <row r="23" spans="1:102" x14ac:dyDescent="0.2">
      <c r="A23" s="10" t="s">
        <v>50</v>
      </c>
      <c r="B23" s="24"/>
      <c r="C23" s="24"/>
      <c r="D23" s="14"/>
      <c r="E23" s="14"/>
      <c r="F23" s="25"/>
      <c r="G23" s="25"/>
      <c r="H23" s="14"/>
      <c r="I23" s="14"/>
      <c r="J23" s="25"/>
      <c r="K23" s="25"/>
      <c r="L23" s="14"/>
      <c r="M23" s="14"/>
      <c r="N23" s="25"/>
      <c r="O23" s="25"/>
      <c r="P23" s="14"/>
      <c r="Q23" s="14"/>
      <c r="R23" s="25"/>
      <c r="S23" s="25"/>
      <c r="T23" s="14"/>
      <c r="U23" s="14"/>
      <c r="V23" s="25"/>
      <c r="W23" s="25"/>
      <c r="X23" s="14"/>
      <c r="Y23" s="14"/>
      <c r="Z23" s="25"/>
      <c r="AA23" s="14"/>
      <c r="AB23" s="14"/>
      <c r="AC23" s="25"/>
      <c r="AD23" s="25"/>
      <c r="AE23" s="14"/>
      <c r="AF23" s="14"/>
      <c r="AG23" s="25"/>
      <c r="AH23" s="25"/>
      <c r="AI23" s="14"/>
      <c r="AJ23" s="14"/>
      <c r="AK23" s="25"/>
      <c r="AL23" s="25"/>
      <c r="AM23" s="14"/>
      <c r="AN23" s="14"/>
      <c r="AO23" s="25"/>
      <c r="AP23" s="25"/>
      <c r="AQ23" s="14"/>
      <c r="AR23" s="14"/>
      <c r="AS23" s="77" t="s">
        <v>177</v>
      </c>
      <c r="AT23" s="77" t="s">
        <v>178</v>
      </c>
      <c r="AU23" s="80">
        <v>300</v>
      </c>
      <c r="AV23" s="14"/>
      <c r="AW23" s="25"/>
      <c r="AX23" s="25"/>
      <c r="AY23" s="14"/>
      <c r="AZ23" s="14"/>
      <c r="BA23" s="25"/>
      <c r="BB23" s="25"/>
      <c r="BC23" s="14"/>
      <c r="BD23" s="14"/>
      <c r="BE23" s="25"/>
      <c r="BF23" s="25"/>
      <c r="BG23" s="14"/>
      <c r="BH23" s="14"/>
      <c r="BI23" s="25"/>
      <c r="BJ23" s="25"/>
      <c r="BK23" s="14"/>
      <c r="BL23" s="7"/>
      <c r="BM23" s="24"/>
      <c r="BN23" s="24"/>
      <c r="BO23" s="7"/>
      <c r="BP23" s="7"/>
      <c r="BQ23" s="24"/>
      <c r="BR23" s="24"/>
      <c r="BS23" s="7"/>
      <c r="BT23" s="7"/>
      <c r="BU23" s="24"/>
      <c r="BV23" s="24"/>
      <c r="BW23" s="7"/>
      <c r="BX23" s="7"/>
      <c r="BY23" s="24"/>
      <c r="BZ23" s="7"/>
      <c r="CA23" s="7"/>
      <c r="CB23" s="24"/>
      <c r="CC23" s="7"/>
      <c r="CD23" s="7"/>
      <c r="CE23" s="24"/>
      <c r="CF23" s="7"/>
      <c r="CG23" s="7"/>
      <c r="CH23" s="24"/>
      <c r="CI23" s="7"/>
      <c r="CJ23" s="7"/>
      <c r="CK23" s="24"/>
      <c r="CL23" s="7"/>
      <c r="CM23" s="7"/>
      <c r="CN23" s="24"/>
      <c r="CO23" s="24"/>
      <c r="CP23" s="14"/>
      <c r="CQ23" s="7"/>
      <c r="CR23" s="7"/>
      <c r="CS23" s="7"/>
      <c r="CT23" s="7"/>
      <c r="CU23" s="7"/>
      <c r="CV23" s="7"/>
      <c r="CW23" s="7"/>
      <c r="CX23" s="31">
        <f>SUM(D23,H23,L23,P23,T23,X23,AA23,AE23,AI23,AM23,AQ23,BC23,BG23,BK23,BO23,BS23,BW23,BZ23,AU23,AY23,CC23,CF23,CI23,CL23,CP23,CS23,CV23)</f>
        <v>300</v>
      </c>
    </row>
    <row r="24" spans="1:102" x14ac:dyDescent="0.2">
      <c r="A24" s="10" t="s">
        <v>35</v>
      </c>
      <c r="B24" s="24"/>
      <c r="C24" s="24"/>
      <c r="D24" s="14"/>
      <c r="E24" s="14"/>
      <c r="F24" s="25"/>
      <c r="G24" s="25"/>
      <c r="H24" s="14"/>
      <c r="I24" s="14"/>
      <c r="J24" s="25"/>
      <c r="K24" s="25"/>
      <c r="L24" s="14"/>
      <c r="M24" s="14"/>
      <c r="N24" s="25"/>
      <c r="O24" s="25"/>
      <c r="P24" s="14"/>
      <c r="Q24" s="14"/>
      <c r="R24" s="25"/>
      <c r="S24" s="25"/>
      <c r="T24" s="14"/>
      <c r="U24" s="14"/>
      <c r="V24" s="25"/>
      <c r="W24" s="25"/>
      <c r="X24" s="14"/>
      <c r="Y24" s="14"/>
      <c r="Z24" s="25"/>
      <c r="AA24" s="14"/>
      <c r="AB24" s="14"/>
      <c r="AC24" s="25" t="s">
        <v>87</v>
      </c>
      <c r="AD24" s="25"/>
      <c r="AE24" s="80">
        <v>71.569999999999993</v>
      </c>
      <c r="AF24" s="14"/>
      <c r="AG24" s="25"/>
      <c r="AH24" s="25"/>
      <c r="AI24" s="14"/>
      <c r="AJ24" s="14"/>
      <c r="AK24" s="25"/>
      <c r="AL24" s="25"/>
      <c r="AM24" s="14"/>
      <c r="AN24" s="14"/>
      <c r="AO24" s="25"/>
      <c r="AP24" s="25"/>
      <c r="AQ24" s="14"/>
      <c r="AR24" s="14"/>
      <c r="AS24" s="25"/>
      <c r="AT24" s="25"/>
      <c r="AU24" s="14"/>
      <c r="AV24" s="14"/>
      <c r="AW24" s="25"/>
      <c r="AX24" s="25"/>
      <c r="AY24" s="14"/>
      <c r="AZ24" s="14"/>
      <c r="BA24" s="25"/>
      <c r="BB24" s="25"/>
      <c r="BC24" s="14"/>
      <c r="BD24" s="14"/>
      <c r="BE24" s="25"/>
      <c r="BF24" s="25"/>
      <c r="BG24" s="14"/>
      <c r="BH24" s="14"/>
      <c r="BI24" s="25"/>
      <c r="BJ24" s="25"/>
      <c r="BK24" s="14"/>
      <c r="BL24" s="7"/>
      <c r="BM24" s="24"/>
      <c r="BN24" s="24"/>
      <c r="BO24" s="7"/>
      <c r="BP24" s="7"/>
      <c r="BT24" s="7"/>
      <c r="BU24" s="59" t="s">
        <v>171</v>
      </c>
      <c r="BV24" s="59" t="s">
        <v>172</v>
      </c>
      <c r="BW24" s="7">
        <v>576.82000000000005</v>
      </c>
      <c r="BX24" s="7"/>
      <c r="BY24" s="24"/>
      <c r="BZ24" s="7"/>
      <c r="CA24" s="7"/>
      <c r="CB24" s="24"/>
      <c r="CC24" s="7"/>
      <c r="CD24" s="7"/>
      <c r="CE24" s="24"/>
      <c r="CF24" s="7"/>
      <c r="CG24" s="7"/>
      <c r="CH24" s="24"/>
      <c r="CI24" s="7"/>
      <c r="CJ24" s="7"/>
      <c r="CK24" s="24"/>
      <c r="CL24" s="7"/>
      <c r="CM24" s="7"/>
      <c r="CN24" s="24"/>
      <c r="CO24" s="24"/>
      <c r="CP24" s="14"/>
      <c r="CQ24" s="7"/>
      <c r="CR24" s="7"/>
      <c r="CS24" s="7"/>
      <c r="CT24" s="7"/>
      <c r="CU24" s="7"/>
      <c r="CV24" s="7"/>
      <c r="CW24" s="7"/>
      <c r="CX24" s="31">
        <f>SUM(D24,H24,L24,P24,T24,X24,AA24,AE24,AI24,AM24,AQ24,BC24,BG24,BK24,BO24,BS24,BW24,BZ24,AU24,AY24,CC24,CF24,CI24,CL24,CP24,CS24,CV24)</f>
        <v>648.3900000000001</v>
      </c>
    </row>
    <row r="25" spans="1:102" x14ac:dyDescent="0.2">
      <c r="A25" s="61"/>
      <c r="CX25" s="31"/>
    </row>
    <row r="26" spans="1:102" x14ac:dyDescent="0.2">
      <c r="A26" s="10"/>
      <c r="B26" s="24"/>
      <c r="C26" s="24"/>
      <c r="D26" s="14"/>
      <c r="E26" s="14"/>
      <c r="F26" s="25"/>
      <c r="G26" s="25"/>
      <c r="H26" s="14"/>
      <c r="I26" s="14"/>
      <c r="J26" s="25"/>
      <c r="K26" s="25"/>
      <c r="L26" s="14"/>
      <c r="M26" s="14"/>
      <c r="N26" s="25"/>
      <c r="O26" s="25"/>
      <c r="P26" s="14"/>
      <c r="Q26" s="14"/>
      <c r="R26" s="25"/>
      <c r="S26" s="25"/>
      <c r="T26" s="14"/>
      <c r="U26" s="14"/>
      <c r="V26" s="25"/>
      <c r="W26" s="25"/>
      <c r="X26" s="14"/>
      <c r="Y26" s="14"/>
      <c r="Z26" s="25"/>
      <c r="AA26" s="14"/>
      <c r="AB26" s="14"/>
      <c r="AC26" s="25"/>
      <c r="AD26" s="25"/>
      <c r="AE26" s="14"/>
      <c r="AF26" s="14"/>
      <c r="AG26" s="25"/>
      <c r="AH26" s="25"/>
      <c r="AI26" s="14"/>
      <c r="AJ26" s="14"/>
      <c r="AK26" s="25"/>
      <c r="AL26" s="25"/>
      <c r="AM26" s="14"/>
      <c r="AN26" s="14"/>
      <c r="AO26" s="25"/>
      <c r="AP26" s="25"/>
      <c r="AQ26" s="14"/>
      <c r="AR26" s="14"/>
      <c r="AS26" s="25"/>
      <c r="AT26" s="25"/>
      <c r="AU26" s="14"/>
      <c r="AV26" s="14"/>
      <c r="AW26" s="25"/>
      <c r="AX26" s="25"/>
      <c r="AY26" s="14"/>
      <c r="AZ26" s="14"/>
      <c r="BA26" s="25"/>
      <c r="BB26" s="25"/>
      <c r="BC26" s="14"/>
      <c r="BD26" s="14"/>
      <c r="BE26" s="25"/>
      <c r="BF26" s="25"/>
      <c r="BG26" s="14"/>
      <c r="BH26" s="14"/>
      <c r="BI26" s="25"/>
      <c r="BJ26" s="25"/>
      <c r="BK26" s="14"/>
      <c r="BL26" s="7"/>
      <c r="BM26" s="24"/>
      <c r="BN26" s="24"/>
      <c r="BO26" s="7"/>
      <c r="BP26" s="7"/>
      <c r="BQ26" s="24"/>
      <c r="BR26" s="24"/>
      <c r="BS26" s="7"/>
      <c r="BT26" s="7"/>
      <c r="BU26" s="24"/>
      <c r="BV26" s="24"/>
      <c r="BW26" s="7"/>
      <c r="BX26" s="7"/>
      <c r="BY26" s="24"/>
      <c r="BZ26" s="7"/>
      <c r="CA26" s="7"/>
      <c r="CB26" s="24"/>
      <c r="CC26" s="7"/>
      <c r="CD26" s="7"/>
      <c r="CE26" s="24"/>
      <c r="CF26" s="7"/>
      <c r="CG26" s="7"/>
      <c r="CH26" s="24"/>
      <c r="CI26" s="7"/>
      <c r="CJ26" s="7"/>
      <c r="CK26" s="24"/>
      <c r="CL26" s="7"/>
      <c r="CM26" s="7"/>
      <c r="CN26" s="24"/>
      <c r="CO26" s="24"/>
      <c r="CP26" s="14"/>
      <c r="CQ26" s="7"/>
      <c r="CR26" s="7"/>
      <c r="CS26" s="7"/>
      <c r="CT26" s="7"/>
      <c r="CU26" s="7"/>
      <c r="CV26" s="7"/>
      <c r="CW26" s="7"/>
      <c r="CX26" s="31"/>
    </row>
    <row r="27" spans="1:102" x14ac:dyDescent="0.2">
      <c r="A27" s="10"/>
      <c r="B27" s="24"/>
      <c r="C27" s="24"/>
      <c r="D27" s="14"/>
      <c r="E27" s="14"/>
      <c r="F27" s="25"/>
      <c r="G27" s="25"/>
      <c r="H27" s="14"/>
      <c r="I27" s="14"/>
      <c r="J27" s="25"/>
      <c r="K27" s="25"/>
      <c r="L27" s="14"/>
      <c r="M27" s="14"/>
      <c r="N27" s="25"/>
      <c r="O27" s="25"/>
      <c r="P27" s="14"/>
      <c r="Q27" s="14"/>
      <c r="R27" s="25"/>
      <c r="S27" s="25"/>
      <c r="T27" s="14"/>
      <c r="U27" s="14"/>
      <c r="V27" s="25"/>
      <c r="W27" s="25"/>
      <c r="X27" s="14"/>
      <c r="Y27" s="14"/>
      <c r="Z27" s="25"/>
      <c r="AA27" s="14"/>
      <c r="AB27" s="14"/>
      <c r="AC27" s="25"/>
      <c r="AD27" s="25"/>
      <c r="AE27" s="14"/>
      <c r="AF27" s="14"/>
      <c r="AG27" s="25"/>
      <c r="AH27" s="25"/>
      <c r="AI27" s="14"/>
      <c r="AJ27" s="14"/>
      <c r="AK27" s="25"/>
      <c r="AL27" s="25"/>
      <c r="AM27" s="14"/>
      <c r="AN27" s="14"/>
      <c r="AO27" s="25"/>
      <c r="AP27" s="25"/>
      <c r="AQ27" s="14"/>
      <c r="AR27" s="14"/>
      <c r="AS27" s="25"/>
      <c r="AT27" s="25"/>
      <c r="AU27" s="14"/>
      <c r="AV27" s="14"/>
      <c r="AW27" s="25"/>
      <c r="AX27" s="25"/>
      <c r="AY27" s="14"/>
      <c r="AZ27" s="14"/>
      <c r="BA27" s="25"/>
      <c r="BB27" s="25"/>
      <c r="BC27" s="14"/>
      <c r="BD27" s="14"/>
      <c r="BE27" s="25"/>
      <c r="BF27" s="25"/>
      <c r="BG27" s="14"/>
      <c r="BH27" s="14"/>
      <c r="BI27" s="25"/>
      <c r="BJ27" s="25"/>
      <c r="BK27" s="14"/>
      <c r="BL27" s="7"/>
      <c r="BM27" s="24"/>
      <c r="BN27" s="24"/>
      <c r="BO27" s="7"/>
      <c r="BP27" s="7"/>
      <c r="BQ27" s="24"/>
      <c r="BR27" s="24"/>
      <c r="BS27" s="7"/>
      <c r="BT27" s="7"/>
      <c r="BU27" s="24"/>
      <c r="BV27" s="24"/>
      <c r="BW27" s="7"/>
      <c r="BX27" s="7"/>
      <c r="BY27" s="24"/>
      <c r="BZ27" s="7"/>
      <c r="CA27" s="7"/>
      <c r="CB27" s="24"/>
      <c r="CC27" s="7"/>
      <c r="CD27" s="7"/>
      <c r="CE27" s="24"/>
      <c r="CF27" s="7"/>
      <c r="CG27" s="7"/>
      <c r="CH27" s="24"/>
      <c r="CI27" s="7"/>
      <c r="CJ27" s="7"/>
      <c r="CK27" s="24"/>
      <c r="CL27" s="7"/>
      <c r="CM27" s="7"/>
      <c r="CN27" s="24"/>
      <c r="CO27" s="24"/>
      <c r="CP27" s="14"/>
      <c r="CQ27" s="7"/>
      <c r="CR27" s="7"/>
      <c r="CS27" s="7"/>
      <c r="CT27" s="7"/>
      <c r="CU27" s="7"/>
      <c r="CV27" s="7"/>
      <c r="CW27" s="7"/>
      <c r="CX27" s="31"/>
    </row>
    <row r="28" spans="1:102" x14ac:dyDescent="0.2">
      <c r="A28" s="12"/>
      <c r="B28" s="25"/>
      <c r="C28" s="25"/>
      <c r="D28" s="14"/>
      <c r="E28" s="14"/>
      <c r="F28" s="25"/>
      <c r="G28" s="25"/>
      <c r="H28" s="14"/>
      <c r="I28" s="14"/>
      <c r="J28" s="25"/>
      <c r="K28" s="25"/>
      <c r="L28" s="14"/>
      <c r="M28" s="14"/>
      <c r="N28" s="25"/>
      <c r="O28" s="25"/>
      <c r="P28" s="14"/>
      <c r="Q28" s="14"/>
      <c r="R28" s="25"/>
      <c r="S28" s="25"/>
      <c r="T28" s="14"/>
      <c r="U28" s="14"/>
      <c r="V28" s="25"/>
      <c r="W28" s="25"/>
      <c r="X28" s="14"/>
      <c r="Y28" s="14"/>
      <c r="Z28" s="25"/>
      <c r="AA28" s="14"/>
      <c r="AB28" s="14"/>
      <c r="AC28" s="25"/>
      <c r="AD28" s="25"/>
      <c r="AE28" s="14"/>
      <c r="AF28" s="14"/>
      <c r="AG28" s="25"/>
      <c r="AH28" s="25"/>
      <c r="AI28" s="14"/>
      <c r="AJ28" s="14"/>
      <c r="AK28" s="25"/>
      <c r="AL28" s="25"/>
      <c r="AM28" s="14"/>
      <c r="AN28" s="14"/>
      <c r="AO28" s="25"/>
      <c r="AP28" s="25"/>
      <c r="AQ28" s="14"/>
      <c r="AR28" s="14"/>
      <c r="AS28" s="25"/>
      <c r="AT28" s="25"/>
      <c r="AU28" s="14"/>
      <c r="AV28" s="14"/>
      <c r="AW28" s="25"/>
      <c r="AX28" s="25"/>
      <c r="AY28" s="14"/>
      <c r="AZ28" s="14"/>
      <c r="BA28" s="25"/>
      <c r="BB28" s="25"/>
      <c r="BC28" s="14"/>
      <c r="BD28" s="14"/>
      <c r="BE28" s="25"/>
      <c r="BF28" s="25"/>
      <c r="BG28" s="14"/>
      <c r="BH28" s="14"/>
      <c r="BI28" s="25"/>
      <c r="BJ28" s="25"/>
      <c r="BK28" s="14"/>
      <c r="BL28" s="7"/>
      <c r="BM28" s="25"/>
      <c r="BN28" s="25"/>
      <c r="BO28" s="7"/>
      <c r="BP28" s="7"/>
      <c r="BQ28" s="25"/>
      <c r="BR28" s="25"/>
      <c r="BS28" s="7"/>
      <c r="BT28" s="7"/>
      <c r="BU28" s="25"/>
      <c r="BV28" s="25"/>
      <c r="BW28" s="7"/>
      <c r="BX28" s="7"/>
      <c r="BY28" s="25"/>
      <c r="BZ28" s="7"/>
      <c r="CA28" s="7"/>
      <c r="CB28" s="25"/>
      <c r="CC28" s="7"/>
      <c r="CD28" s="7"/>
      <c r="CE28" s="25"/>
      <c r="CF28" s="7"/>
      <c r="CG28" s="7"/>
      <c r="CH28" s="25"/>
      <c r="CI28" s="7"/>
      <c r="CJ28" s="7"/>
      <c r="CK28" s="25"/>
      <c r="CL28" s="7"/>
      <c r="CM28" s="7"/>
      <c r="CN28" s="25"/>
      <c r="CO28" s="25"/>
      <c r="CP28" s="14"/>
      <c r="CQ28" s="7"/>
      <c r="CR28" s="7"/>
      <c r="CS28" s="7"/>
      <c r="CT28" s="7"/>
      <c r="CU28" s="7"/>
      <c r="CV28" s="7"/>
      <c r="CW28" s="7"/>
      <c r="CX28" s="31"/>
    </row>
    <row r="29" spans="1:102" x14ac:dyDescent="0.2">
      <c r="A29" s="61"/>
      <c r="B29" s="25"/>
      <c r="C29" s="25"/>
      <c r="D29" s="14"/>
      <c r="E29" s="14"/>
      <c r="F29" s="25"/>
      <c r="G29" s="25"/>
      <c r="H29" s="14"/>
      <c r="I29" s="14"/>
      <c r="J29" s="25"/>
      <c r="K29" s="25"/>
      <c r="L29" s="14"/>
      <c r="M29" s="14"/>
      <c r="N29" s="25"/>
      <c r="O29" s="25"/>
      <c r="P29" s="14"/>
      <c r="Q29" s="14"/>
      <c r="R29" s="25"/>
      <c r="S29" s="25"/>
      <c r="T29" s="14"/>
      <c r="U29" s="14"/>
      <c r="V29" s="25"/>
      <c r="W29" s="25"/>
      <c r="X29" s="14"/>
      <c r="Y29" s="14"/>
      <c r="Z29" s="25"/>
      <c r="AA29" s="14"/>
      <c r="AB29" s="14"/>
      <c r="AC29" s="25"/>
      <c r="AD29" s="25"/>
      <c r="AE29" s="14"/>
      <c r="AF29" s="14"/>
      <c r="AG29" s="25"/>
      <c r="AH29" s="25"/>
      <c r="AI29" s="14"/>
      <c r="AJ29" s="14"/>
      <c r="AK29" s="25"/>
      <c r="AL29" s="25"/>
      <c r="AM29" s="14"/>
      <c r="AN29" s="14"/>
      <c r="AO29" s="25"/>
      <c r="AP29" s="25"/>
      <c r="AQ29" s="14"/>
      <c r="AR29" s="14"/>
      <c r="AS29" s="25"/>
      <c r="AT29" s="25"/>
      <c r="AU29" s="14"/>
      <c r="AV29" s="14"/>
      <c r="AW29" s="25"/>
      <c r="AX29" s="25"/>
      <c r="AY29" s="14"/>
      <c r="AZ29" s="14"/>
      <c r="BA29" s="25"/>
      <c r="BB29" s="25"/>
      <c r="BC29" s="14"/>
      <c r="BD29" s="14"/>
      <c r="BE29" s="25"/>
      <c r="BF29" s="25"/>
      <c r="BG29" s="14"/>
      <c r="BH29" s="14"/>
      <c r="BI29" s="25"/>
      <c r="BJ29" s="25"/>
      <c r="BK29" s="14"/>
      <c r="BL29" s="7"/>
      <c r="BM29" s="25"/>
      <c r="BN29" s="25"/>
      <c r="BO29" s="7"/>
      <c r="BP29" s="7"/>
      <c r="BQ29" s="25"/>
      <c r="BR29" s="25"/>
      <c r="BS29" s="7"/>
      <c r="BT29" s="7"/>
      <c r="BU29" s="25"/>
      <c r="BV29" s="25"/>
      <c r="BW29" s="7"/>
      <c r="BX29" s="7"/>
      <c r="BY29" s="25"/>
      <c r="BZ29" s="7"/>
      <c r="CA29" s="7"/>
      <c r="CB29" s="25"/>
      <c r="CC29" s="7"/>
      <c r="CD29" s="7"/>
      <c r="CE29" s="25"/>
      <c r="CF29" s="7"/>
      <c r="CG29" s="7"/>
      <c r="CH29" s="25"/>
      <c r="CI29" s="7"/>
      <c r="CJ29" s="7"/>
      <c r="CK29" s="25"/>
      <c r="CL29" s="7"/>
      <c r="CM29" s="7"/>
      <c r="CN29" s="25"/>
      <c r="CO29" s="25"/>
      <c r="CP29" s="14"/>
      <c r="CQ29" s="7"/>
      <c r="CR29" s="7"/>
      <c r="CS29" s="7"/>
      <c r="CT29" s="7"/>
      <c r="CU29" s="7"/>
      <c r="CV29" s="7"/>
      <c r="CW29" s="7"/>
      <c r="CX29" s="31"/>
    </row>
    <row r="31" spans="1:102" x14ac:dyDescent="0.2">
      <c r="A31" s="10" t="s">
        <v>123</v>
      </c>
      <c r="B31" s="24"/>
      <c r="C31" s="24"/>
      <c r="D31" s="14"/>
      <c r="E31" s="14"/>
      <c r="F31" s="25"/>
      <c r="G31" s="25"/>
      <c r="H31" s="14"/>
      <c r="I31" s="14"/>
      <c r="J31" s="25"/>
      <c r="K31" s="25"/>
      <c r="L31" s="14"/>
      <c r="M31" s="14"/>
      <c r="N31" s="78" t="s">
        <v>169</v>
      </c>
      <c r="O31" s="25" t="s">
        <v>76</v>
      </c>
      <c r="P31" s="80">
        <v>600</v>
      </c>
      <c r="Q31" s="14"/>
      <c r="R31" s="25"/>
      <c r="S31" s="25"/>
      <c r="T31" s="14"/>
      <c r="U31" s="14"/>
      <c r="V31" s="25"/>
      <c r="W31" s="25"/>
      <c r="X31" s="14"/>
      <c r="Y31" s="14"/>
      <c r="Z31" s="25"/>
      <c r="AA31" s="14"/>
      <c r="AB31" s="14"/>
      <c r="AC31" s="25"/>
      <c r="AD31" s="25"/>
      <c r="AE31" s="14"/>
      <c r="AF31" s="14"/>
      <c r="AG31" s="25"/>
      <c r="AH31" s="25"/>
      <c r="AI31" s="14"/>
      <c r="AJ31" s="14"/>
      <c r="AK31" s="25"/>
      <c r="AL31" s="25"/>
      <c r="AM31" s="14"/>
      <c r="AN31" s="14"/>
      <c r="AO31" s="25"/>
      <c r="AP31" s="25"/>
      <c r="AQ31" s="14"/>
      <c r="AR31" s="14"/>
      <c r="AS31" s="25"/>
      <c r="AT31" s="25"/>
      <c r="AU31" s="14"/>
      <c r="AV31" s="14"/>
      <c r="AW31" s="25"/>
      <c r="AX31" s="25"/>
      <c r="AY31" s="14">
        <v>1970</v>
      </c>
      <c r="AZ31" s="14"/>
      <c r="BA31" s="25"/>
      <c r="BB31" s="25"/>
      <c r="BC31" s="14"/>
      <c r="BD31" s="14"/>
      <c r="BE31" s="25"/>
      <c r="BF31" s="25"/>
      <c r="BG31" s="14"/>
      <c r="BH31" s="14"/>
      <c r="BI31" s="25"/>
      <c r="BJ31" s="25"/>
      <c r="BK31" s="14"/>
      <c r="BL31" s="7"/>
      <c r="BM31" s="24"/>
      <c r="BN31" s="24"/>
      <c r="BO31" s="7"/>
      <c r="BP31" s="7"/>
      <c r="BQ31" s="24"/>
      <c r="BR31" s="24"/>
      <c r="BS31" s="7"/>
      <c r="BT31" s="7"/>
      <c r="BU31" s="24"/>
      <c r="BV31" s="24"/>
      <c r="BW31" s="7"/>
      <c r="BX31" s="7"/>
      <c r="BY31" s="24"/>
      <c r="BZ31" s="7"/>
      <c r="CA31" s="7"/>
      <c r="CB31" s="24"/>
      <c r="CC31" s="7"/>
      <c r="CD31" s="7"/>
      <c r="CE31" s="24"/>
      <c r="CF31" s="7"/>
      <c r="CG31" s="7"/>
      <c r="CH31" s="24"/>
      <c r="CI31" s="7">
        <v>200</v>
      </c>
      <c r="CJ31" s="7"/>
      <c r="CK31" s="24"/>
      <c r="CL31" s="7"/>
      <c r="CM31" s="7"/>
      <c r="CN31" s="24"/>
      <c r="CO31" s="24"/>
      <c r="CP31" s="14"/>
      <c r="CQ31" s="7"/>
      <c r="CR31" s="7"/>
      <c r="CS31" s="7"/>
      <c r="CT31" s="7"/>
      <c r="CU31" s="7"/>
      <c r="CV31" s="7"/>
      <c r="CW31" s="7"/>
      <c r="CX31" s="31">
        <f>SUM(D31,H31,L31,P31,T31,X31,AA31,AE31,AI31,AM31,AQ31,BC31,BG31,BK31,BO31,BS31,BW31,BZ31,AU31,AY31,CC31,CF31,CI31,CL31,CP31,CS31,CV31)</f>
        <v>2770</v>
      </c>
    </row>
    <row r="32" spans="1:102" x14ac:dyDescent="0.2">
      <c r="A32" s="10"/>
      <c r="B32" s="24"/>
      <c r="C32" s="24"/>
      <c r="D32" s="14"/>
      <c r="E32" s="14"/>
      <c r="F32" s="25"/>
      <c r="G32" s="25"/>
      <c r="H32" s="14"/>
      <c r="I32" s="14"/>
      <c r="J32" s="25"/>
      <c r="K32" s="25"/>
      <c r="L32" s="14"/>
      <c r="M32" s="14"/>
      <c r="N32" s="25"/>
      <c r="O32" s="25"/>
      <c r="P32" s="14"/>
      <c r="Q32" s="14"/>
      <c r="R32" s="25"/>
      <c r="S32" s="25"/>
      <c r="T32" s="14"/>
      <c r="U32" s="14"/>
      <c r="Y32" s="14"/>
      <c r="Z32" s="25"/>
      <c r="AA32" s="14"/>
      <c r="AB32" s="14"/>
      <c r="AC32" s="25"/>
      <c r="AD32" s="25"/>
      <c r="AE32" s="14"/>
      <c r="AF32" s="14"/>
      <c r="AG32" s="25"/>
      <c r="AH32" s="25"/>
      <c r="AI32" s="14"/>
      <c r="AJ32" s="14"/>
      <c r="AK32" s="25"/>
      <c r="AL32" s="25"/>
      <c r="AM32" s="14"/>
      <c r="AN32" s="14"/>
      <c r="AO32" s="25"/>
      <c r="AP32" s="25"/>
      <c r="AQ32" s="14"/>
      <c r="AR32" s="14"/>
      <c r="AS32" s="25"/>
      <c r="AT32" s="25"/>
      <c r="AU32" s="14"/>
      <c r="AV32" s="14"/>
      <c r="AW32" s="25"/>
      <c r="AX32" s="25"/>
      <c r="AY32" s="14"/>
      <c r="AZ32" s="14"/>
      <c r="BA32" s="25"/>
      <c r="BB32" s="25"/>
      <c r="BC32" s="14"/>
      <c r="BD32" s="14"/>
      <c r="BE32" s="25"/>
      <c r="BF32" s="25"/>
      <c r="BG32" s="14"/>
      <c r="BH32" s="14"/>
      <c r="BI32" s="25"/>
      <c r="BJ32" s="25"/>
      <c r="BK32" s="14"/>
      <c r="BL32" s="7"/>
      <c r="BM32" s="24"/>
      <c r="BN32" s="24"/>
      <c r="BO32" s="7"/>
      <c r="BP32" s="7"/>
      <c r="BQ32" s="24"/>
      <c r="BR32" s="24"/>
      <c r="BS32" s="7"/>
      <c r="BT32" s="7"/>
      <c r="BU32" s="24"/>
      <c r="BV32" s="24"/>
      <c r="BW32" s="7"/>
      <c r="BX32" s="7"/>
      <c r="BY32" s="24"/>
      <c r="BZ32" s="7"/>
      <c r="CA32" s="7"/>
      <c r="CB32" s="24"/>
      <c r="CC32" s="7"/>
      <c r="CD32" s="7"/>
      <c r="CE32" s="24"/>
      <c r="CF32" s="7"/>
      <c r="CG32" s="7"/>
      <c r="CH32" s="24"/>
      <c r="CI32" s="7"/>
      <c r="CJ32" s="7"/>
      <c r="CK32" s="24"/>
      <c r="CL32" s="7"/>
      <c r="CM32" s="7"/>
      <c r="CN32" s="24"/>
      <c r="CO32" s="24"/>
      <c r="CP32" s="14"/>
      <c r="CQ32" s="7"/>
      <c r="CR32" s="7"/>
      <c r="CS32" s="7"/>
      <c r="CT32" s="7"/>
      <c r="CU32" s="7"/>
      <c r="CV32" s="7"/>
      <c r="CW32" s="7"/>
      <c r="CX32" s="31"/>
    </row>
    <row r="33" spans="1:102" x14ac:dyDescent="0.2">
      <c r="A33" s="10"/>
      <c r="B33" s="24"/>
      <c r="C33" s="24"/>
      <c r="D33" s="14"/>
      <c r="E33" s="14"/>
      <c r="F33" s="25"/>
      <c r="G33" s="25"/>
      <c r="H33" s="14"/>
      <c r="I33" s="14"/>
      <c r="J33" s="25"/>
      <c r="K33" s="25"/>
      <c r="L33" s="14"/>
      <c r="M33" s="14"/>
      <c r="N33" s="25"/>
      <c r="O33" s="25"/>
      <c r="P33" s="14"/>
      <c r="Q33" s="14"/>
      <c r="R33" s="25"/>
      <c r="S33" s="25"/>
      <c r="T33" s="14"/>
      <c r="U33" s="14"/>
      <c r="Y33" s="14"/>
      <c r="Z33" s="25"/>
      <c r="AA33" s="14"/>
      <c r="AB33" s="14"/>
      <c r="AC33" s="25"/>
      <c r="AD33" s="25"/>
      <c r="AE33" s="14"/>
      <c r="AF33" s="14"/>
      <c r="AG33" s="25"/>
      <c r="AH33" s="25"/>
      <c r="AI33" s="14"/>
      <c r="AJ33" s="14"/>
      <c r="AK33" s="25"/>
      <c r="AL33" s="25"/>
      <c r="AM33" s="14"/>
      <c r="AN33" s="14"/>
      <c r="AO33" s="25"/>
      <c r="AP33" s="25"/>
      <c r="AQ33" s="14"/>
      <c r="AR33" s="14"/>
      <c r="AS33" s="25"/>
      <c r="AT33" s="25"/>
      <c r="AU33" s="14"/>
      <c r="AV33" s="14"/>
      <c r="AW33" s="25"/>
      <c r="AX33" s="25"/>
      <c r="AY33" s="14"/>
      <c r="AZ33" s="14"/>
      <c r="BA33" s="25"/>
      <c r="BB33" s="25"/>
      <c r="BC33" s="14"/>
      <c r="BD33" s="14"/>
      <c r="BE33" s="25"/>
      <c r="BF33" s="25"/>
      <c r="BG33" s="14"/>
      <c r="BH33" s="14"/>
      <c r="BI33" s="25"/>
      <c r="BJ33" s="25"/>
      <c r="BK33" s="14"/>
      <c r="BL33" s="7"/>
      <c r="BM33" s="24"/>
      <c r="BN33" s="24"/>
      <c r="BO33" s="7"/>
      <c r="BP33" s="7"/>
      <c r="BQ33" s="24"/>
      <c r="BR33" s="24"/>
      <c r="BS33" s="7"/>
      <c r="BT33" s="7"/>
      <c r="BU33" s="24"/>
      <c r="BV33" s="24"/>
      <c r="BW33" s="7"/>
      <c r="BX33" s="7"/>
      <c r="BY33" s="24"/>
      <c r="BZ33" s="7"/>
      <c r="CA33" s="7"/>
      <c r="CB33" s="24"/>
      <c r="CC33" s="7"/>
      <c r="CD33" s="7"/>
      <c r="CE33" s="24"/>
      <c r="CF33" s="7"/>
      <c r="CG33" s="7"/>
      <c r="CH33" s="24"/>
      <c r="CI33" s="7"/>
      <c r="CJ33" s="7"/>
      <c r="CK33" s="24"/>
      <c r="CL33" s="7"/>
      <c r="CM33" s="7"/>
      <c r="CN33" s="24"/>
      <c r="CO33" s="24"/>
      <c r="CP33" s="14"/>
      <c r="CQ33" s="7"/>
      <c r="CR33" s="7"/>
      <c r="CS33" s="7"/>
      <c r="CT33" s="7"/>
      <c r="CU33" s="7"/>
      <c r="CV33" s="7"/>
      <c r="CW33" s="7"/>
      <c r="CX33" s="31"/>
    </row>
    <row r="34" spans="1:102" x14ac:dyDescent="0.2">
      <c r="A34" s="10" t="s">
        <v>59</v>
      </c>
      <c r="B34" s="24"/>
      <c r="C34" s="24"/>
      <c r="D34" s="14"/>
      <c r="E34" s="14"/>
      <c r="F34" s="77" t="s">
        <v>163</v>
      </c>
      <c r="G34" s="77" t="s">
        <v>164</v>
      </c>
      <c r="H34" s="80">
        <v>455</v>
      </c>
      <c r="I34" s="14"/>
      <c r="J34" s="25"/>
      <c r="K34" s="25"/>
      <c r="L34" s="14"/>
      <c r="M34" s="14"/>
      <c r="N34" s="25"/>
      <c r="O34" s="25"/>
      <c r="P34" s="14"/>
      <c r="Q34" s="14"/>
      <c r="R34" s="25"/>
      <c r="S34" s="25"/>
      <c r="T34" s="14"/>
      <c r="U34" s="14"/>
      <c r="V34" s="25"/>
      <c r="W34" s="25"/>
      <c r="X34" s="14"/>
      <c r="Y34" s="14"/>
      <c r="Z34" s="25"/>
      <c r="AA34" s="14"/>
      <c r="AB34" s="14"/>
      <c r="AC34" s="25"/>
      <c r="AD34" s="25"/>
      <c r="AE34" s="14"/>
      <c r="AF34" s="14"/>
      <c r="AG34" s="25"/>
      <c r="AH34" s="25"/>
      <c r="AI34" s="14"/>
      <c r="AJ34" s="14"/>
      <c r="AK34" s="25"/>
      <c r="AL34" s="25"/>
      <c r="AM34" s="14"/>
      <c r="AN34" s="14"/>
      <c r="AO34" s="25"/>
      <c r="AP34" s="25"/>
      <c r="AQ34" s="14"/>
      <c r="AR34" s="14"/>
      <c r="AS34" s="25" t="s">
        <v>142</v>
      </c>
      <c r="AT34" s="25" t="s">
        <v>76</v>
      </c>
      <c r="AU34" s="80">
        <v>300</v>
      </c>
      <c r="AV34" s="14"/>
      <c r="AW34" s="25"/>
      <c r="AX34" s="25"/>
      <c r="AY34" s="14"/>
      <c r="AZ34" s="14"/>
      <c r="BA34" s="25"/>
      <c r="BB34" s="25"/>
      <c r="BC34" s="14"/>
      <c r="BD34" s="14"/>
      <c r="BE34" s="25"/>
      <c r="BF34" s="25"/>
      <c r="BG34" s="14"/>
      <c r="BH34" s="14"/>
      <c r="BI34" s="25"/>
      <c r="BJ34" s="25"/>
      <c r="BK34" s="14"/>
      <c r="BL34" s="7"/>
      <c r="BM34" s="24"/>
      <c r="BN34" s="24"/>
      <c r="BO34" s="7"/>
      <c r="BP34" s="7"/>
      <c r="BQ34" s="24"/>
      <c r="BR34" s="24"/>
      <c r="BS34" s="7"/>
      <c r="BT34" s="7"/>
      <c r="BU34" s="24"/>
      <c r="BV34" s="24"/>
      <c r="BW34" s="7"/>
      <c r="BX34" s="7"/>
      <c r="BY34" s="24"/>
      <c r="BZ34" s="7"/>
      <c r="CA34" s="7"/>
      <c r="CB34" s="24"/>
      <c r="CC34" s="7"/>
      <c r="CD34" s="7"/>
      <c r="CE34" s="24"/>
      <c r="CF34" s="7"/>
      <c r="CG34" s="7"/>
      <c r="CH34" s="24"/>
      <c r="CI34" s="7"/>
      <c r="CJ34" s="7"/>
      <c r="CK34" s="24"/>
      <c r="CL34" s="7"/>
      <c r="CM34" s="7"/>
      <c r="CN34" s="24"/>
      <c r="CO34" s="24"/>
      <c r="CP34" s="14"/>
      <c r="CQ34" s="7"/>
      <c r="CR34" s="7"/>
      <c r="CS34" s="7"/>
      <c r="CT34" s="7"/>
      <c r="CU34" s="7"/>
      <c r="CV34" s="7"/>
      <c r="CW34" s="7"/>
      <c r="CX34" s="31">
        <f>SUM(D34,H34,L34,P34,T34,X34,AA34,AE34,AI34,AM34,AQ34,BC34,BG34,BK34,BO34,BS34,BW34,BZ34,AU34,AY34,CC34,CF34,CI34,CL34,CP34,CS34,CV34)</f>
        <v>755</v>
      </c>
    </row>
    <row r="35" spans="1:102" x14ac:dyDescent="0.2">
      <c r="A35" s="10" t="s">
        <v>41</v>
      </c>
      <c r="B35" s="24"/>
      <c r="C35" s="24"/>
      <c r="D35" s="14"/>
      <c r="E35" s="14"/>
      <c r="F35" s="25"/>
      <c r="G35" s="25"/>
      <c r="H35" s="14"/>
      <c r="I35" s="14"/>
      <c r="J35" s="25"/>
      <c r="K35" s="25"/>
      <c r="L35" s="14"/>
      <c r="M35" s="14"/>
      <c r="N35" s="25" t="s">
        <v>148</v>
      </c>
      <c r="O35" s="25" t="s">
        <v>76</v>
      </c>
      <c r="P35" s="80">
        <v>1000</v>
      </c>
      <c r="Q35" s="14"/>
      <c r="R35" s="25"/>
      <c r="S35" s="25"/>
      <c r="T35" s="14"/>
      <c r="U35" s="14"/>
      <c r="V35" s="77" t="s">
        <v>155</v>
      </c>
      <c r="W35" s="25"/>
      <c r="X35" s="80">
        <v>875</v>
      </c>
      <c r="Y35" s="14"/>
      <c r="Z35" s="25"/>
      <c r="AA35" s="14"/>
      <c r="AB35" s="14"/>
      <c r="AC35" s="25"/>
      <c r="AD35" s="25"/>
      <c r="AE35" s="14"/>
      <c r="AF35" s="14"/>
      <c r="AG35" s="25"/>
      <c r="AH35" s="25"/>
      <c r="AI35" s="14"/>
      <c r="AJ35" s="14"/>
      <c r="AK35" s="25"/>
      <c r="AL35" s="25"/>
      <c r="AM35" s="14"/>
      <c r="AN35" s="14"/>
      <c r="AO35" s="25"/>
      <c r="AP35" s="25"/>
      <c r="AQ35" s="14"/>
      <c r="AR35" s="14"/>
      <c r="AS35" s="77" t="s">
        <v>173</v>
      </c>
      <c r="AT35" s="77" t="s">
        <v>174</v>
      </c>
      <c r="AU35" s="80">
        <v>880</v>
      </c>
      <c r="AV35" s="14"/>
      <c r="AW35" s="25"/>
      <c r="AX35" s="25"/>
      <c r="AY35" s="14"/>
      <c r="AZ35" s="14"/>
      <c r="BA35" s="25"/>
      <c r="BB35" s="25"/>
      <c r="BC35" s="14"/>
      <c r="BD35" s="14"/>
      <c r="BE35" s="25"/>
      <c r="BF35" s="25"/>
      <c r="BG35" s="14"/>
      <c r="BH35" s="14"/>
      <c r="BI35" s="25"/>
      <c r="BJ35" s="25"/>
      <c r="BK35" s="14"/>
      <c r="BL35" s="7"/>
      <c r="BM35" s="24"/>
      <c r="BN35" s="24"/>
      <c r="BO35" s="7"/>
      <c r="BP35" s="7"/>
      <c r="BQ35" s="24"/>
      <c r="BR35" s="24"/>
      <c r="BS35" s="7"/>
      <c r="BT35" s="7"/>
      <c r="BU35" s="24"/>
      <c r="BV35" s="24"/>
      <c r="BW35" s="7"/>
      <c r="BX35" s="7"/>
      <c r="BY35" s="24"/>
      <c r="BZ35" s="7"/>
      <c r="CA35" s="7"/>
      <c r="CB35" s="24"/>
      <c r="CC35" s="7"/>
      <c r="CD35" s="7"/>
      <c r="CE35" s="24"/>
      <c r="CF35" s="7"/>
      <c r="CG35" s="7"/>
      <c r="CH35" s="24"/>
      <c r="CI35" s="7"/>
      <c r="CJ35" s="7"/>
      <c r="CK35" s="24"/>
      <c r="CL35" s="7"/>
      <c r="CM35" s="7"/>
      <c r="CN35" s="24"/>
      <c r="CO35" s="24"/>
      <c r="CP35" s="14"/>
      <c r="CQ35" s="7"/>
      <c r="CR35" s="7"/>
      <c r="CS35" s="7"/>
      <c r="CT35" s="7"/>
      <c r="CU35" s="7"/>
      <c r="CV35" s="7"/>
      <c r="CW35" s="7"/>
      <c r="CX35" s="31">
        <f>SUM(D35,H35,L35,P35,T35,X35,AA35,AE35,AI35,AM35,AQ35,BC35,BG35,BK35,BO35,BS35,BW35,BZ35,AU35,AY35,CC35,CF35,CI35,CL35,CP35,CS35,CV35)</f>
        <v>2755</v>
      </c>
    </row>
    <row r="36" spans="1:102" x14ac:dyDescent="0.2">
      <c r="A36" s="10" t="s">
        <v>135</v>
      </c>
      <c r="B36" s="24"/>
      <c r="C36" s="24"/>
      <c r="D36" s="14"/>
      <c r="E36" s="14"/>
      <c r="F36" s="25"/>
      <c r="G36" s="25"/>
      <c r="H36" s="14"/>
      <c r="I36" s="14"/>
      <c r="J36" s="25"/>
      <c r="K36" s="25"/>
      <c r="L36" s="14"/>
      <c r="M36" s="14"/>
      <c r="N36" s="25"/>
      <c r="O36" s="25"/>
      <c r="P36" s="14"/>
      <c r="Q36" s="14"/>
      <c r="R36" s="25"/>
      <c r="S36" s="25"/>
      <c r="T36" s="14"/>
      <c r="U36" s="14"/>
      <c r="V36" s="25"/>
      <c r="W36" s="25"/>
      <c r="X36" s="14"/>
      <c r="Y36" s="14"/>
      <c r="Z36" s="25"/>
      <c r="AA36" s="14"/>
      <c r="AB36" s="14"/>
      <c r="AC36" s="25"/>
      <c r="AD36" s="25"/>
      <c r="AE36" s="14"/>
      <c r="AF36" s="14"/>
      <c r="AG36" s="25"/>
      <c r="AH36" s="25"/>
      <c r="AI36" s="14"/>
      <c r="AJ36" s="14"/>
      <c r="AK36" s="25"/>
      <c r="AL36" s="25"/>
      <c r="AM36" s="14"/>
      <c r="AN36" s="14"/>
      <c r="AO36" s="25"/>
      <c r="AP36" s="25"/>
      <c r="AQ36" s="14"/>
      <c r="AR36" s="14"/>
      <c r="AS36" s="25"/>
      <c r="AT36" s="25"/>
      <c r="AU36" s="14"/>
      <c r="AV36" s="14"/>
      <c r="AW36" s="25"/>
      <c r="AX36" s="25"/>
      <c r="AY36" s="14"/>
      <c r="AZ36" s="14"/>
      <c r="BA36" s="25"/>
      <c r="BB36" s="25"/>
      <c r="BC36" s="14"/>
      <c r="BD36" s="14"/>
      <c r="BE36" s="25"/>
      <c r="BF36" s="25"/>
      <c r="BG36" s="14"/>
      <c r="BH36" s="14"/>
      <c r="BI36" s="25"/>
      <c r="BJ36" s="25"/>
      <c r="BK36" s="14"/>
      <c r="BL36" s="7"/>
      <c r="BM36" s="24"/>
      <c r="BN36" s="24"/>
      <c r="BO36" s="7"/>
      <c r="BP36" s="7"/>
      <c r="BQ36" s="24"/>
      <c r="BR36" s="24"/>
      <c r="BS36" s="7"/>
      <c r="BT36" s="7"/>
      <c r="BU36" s="24"/>
      <c r="BV36" s="24"/>
      <c r="BW36" s="7"/>
      <c r="BX36" s="7"/>
      <c r="BY36" s="24"/>
      <c r="BZ36" s="7"/>
      <c r="CA36" s="7"/>
      <c r="CB36" s="24"/>
      <c r="CC36" s="7"/>
      <c r="CD36" s="7"/>
      <c r="CE36" s="24"/>
      <c r="CF36" s="7"/>
      <c r="CG36" s="7"/>
      <c r="CH36" s="24"/>
      <c r="CI36" s="7"/>
      <c r="CJ36" s="7"/>
      <c r="CK36" s="24"/>
      <c r="CL36" s="7"/>
      <c r="CM36" s="7"/>
      <c r="CN36" s="24" t="s">
        <v>144</v>
      </c>
      <c r="CO36" s="24" t="s">
        <v>146</v>
      </c>
      <c r="CP36" s="80">
        <v>1200</v>
      </c>
      <c r="CQ36" s="7"/>
      <c r="CR36" s="7"/>
      <c r="CS36" s="7"/>
      <c r="CT36" s="7"/>
      <c r="CU36" s="7"/>
      <c r="CV36" s="7"/>
      <c r="CW36" s="7"/>
      <c r="CX36" s="31">
        <f>SUM(D36,H36,L36,P36,T36,X36,AA36,AE36,AI36,AM36,AQ36,BC36,BG36,BK36,BO36,BS36,BW36,BZ36,AU36,AY36,CC36,CF36,CI36,CL36,CP36,CS36,CV36)</f>
        <v>1200</v>
      </c>
    </row>
    <row r="38" spans="1:102" x14ac:dyDescent="0.2">
      <c r="A38" s="10" t="s">
        <v>31</v>
      </c>
      <c r="B38" s="24"/>
      <c r="C38" s="24"/>
      <c r="D38" s="14"/>
      <c r="E38" s="14"/>
      <c r="F38" s="25"/>
      <c r="G38" s="25"/>
      <c r="H38" s="14"/>
      <c r="I38" s="14"/>
      <c r="J38" s="25"/>
      <c r="K38" s="25"/>
      <c r="L38" s="14"/>
      <c r="M38" s="14"/>
      <c r="N38" s="25" t="s">
        <v>127</v>
      </c>
      <c r="O38" s="25" t="s">
        <v>76</v>
      </c>
      <c r="P38" s="14"/>
      <c r="Q38" s="14"/>
      <c r="R38" s="25"/>
      <c r="S38" s="25"/>
      <c r="T38" s="14"/>
      <c r="U38" s="14"/>
      <c r="V38" s="25"/>
      <c r="W38" s="25"/>
      <c r="X38" s="14"/>
      <c r="Y38" s="14"/>
      <c r="Z38" s="25"/>
      <c r="AA38" s="14"/>
      <c r="AB38" s="14"/>
      <c r="AC38" s="25" t="s">
        <v>87</v>
      </c>
      <c r="AD38" s="25"/>
      <c r="AE38" s="81">
        <f>100+50</f>
        <v>150</v>
      </c>
      <c r="AF38" s="14"/>
      <c r="AG38" s="25"/>
      <c r="AH38" s="25"/>
      <c r="AI38" s="14"/>
      <c r="AJ38" s="14"/>
      <c r="AK38" s="25" t="s">
        <v>91</v>
      </c>
      <c r="AL38" s="25"/>
      <c r="AM38" s="80">
        <v>930</v>
      </c>
      <c r="AN38" s="14"/>
      <c r="AO38" s="25"/>
      <c r="AP38" s="25"/>
      <c r="AQ38" s="14"/>
      <c r="AR38" s="14"/>
      <c r="AS38" s="25"/>
      <c r="AT38" s="25"/>
      <c r="AU38" s="14"/>
      <c r="AV38" s="14"/>
      <c r="AW38" s="25"/>
      <c r="AX38" s="25"/>
      <c r="AY38" s="14">
        <v>200</v>
      </c>
      <c r="AZ38" s="14"/>
      <c r="BA38" s="25"/>
      <c r="BB38" s="25"/>
      <c r="BC38" s="14"/>
      <c r="BD38" s="14"/>
      <c r="BE38" s="25"/>
      <c r="BF38" s="25"/>
      <c r="BG38" s="14"/>
      <c r="BH38" s="14"/>
      <c r="BI38" s="25"/>
      <c r="BJ38" s="25"/>
      <c r="BK38" s="14"/>
      <c r="BL38" s="7"/>
      <c r="BM38" s="24"/>
      <c r="BN38" s="24"/>
      <c r="BO38" s="7"/>
      <c r="BP38" s="7"/>
      <c r="BQ38" s="24"/>
      <c r="BR38" s="24"/>
      <c r="BS38" s="7">
        <v>292.81</v>
      </c>
      <c r="BT38" s="7"/>
      <c r="BU38" s="24"/>
      <c r="BV38" s="24"/>
      <c r="BW38" s="7"/>
      <c r="BX38" s="7"/>
      <c r="BY38" s="24"/>
      <c r="BZ38" s="7"/>
      <c r="CA38" s="7"/>
      <c r="CB38" s="24"/>
      <c r="CC38" s="7"/>
      <c r="CD38" s="7"/>
      <c r="CE38" s="24"/>
      <c r="CF38" s="7"/>
      <c r="CG38" s="7"/>
      <c r="CH38" s="24"/>
      <c r="CI38" s="7"/>
      <c r="CJ38" s="7"/>
      <c r="CK38" s="24"/>
      <c r="CL38" s="7"/>
      <c r="CM38" s="7"/>
      <c r="CN38" s="24"/>
      <c r="CO38" s="24"/>
      <c r="CP38" s="14"/>
      <c r="CQ38" s="7"/>
      <c r="CR38" s="7"/>
      <c r="CS38" s="7"/>
      <c r="CT38" s="7"/>
      <c r="CU38" s="7"/>
      <c r="CV38" s="7"/>
      <c r="CW38" s="7"/>
      <c r="CX38" s="31">
        <f>SUM(D38,H38,L38,P38,T38,X38,AA38,AE38,AI38,AM38,AQ38,BC38,BG38,BK38,BO38,BS38,BW38,BZ38,AU38,AY38,CC38,CF38,CI38,CL38,CP38,CS38,CV38)</f>
        <v>1572.81</v>
      </c>
    </row>
    <row r="39" spans="1:102" x14ac:dyDescent="0.2">
      <c r="A39" s="10" t="s">
        <v>33</v>
      </c>
      <c r="B39" s="24"/>
      <c r="C39" s="24"/>
      <c r="D39" s="14"/>
      <c r="E39" s="14"/>
      <c r="F39" s="25"/>
      <c r="G39" s="25"/>
      <c r="H39" s="14"/>
      <c r="I39" s="14"/>
      <c r="J39" s="25"/>
      <c r="K39" s="25"/>
      <c r="L39" s="14"/>
      <c r="M39" s="14"/>
      <c r="N39" s="25"/>
      <c r="O39" s="25"/>
      <c r="P39" s="14"/>
      <c r="Q39" s="14"/>
      <c r="R39" s="25"/>
      <c r="S39" s="25"/>
      <c r="T39" s="14"/>
      <c r="U39" s="14"/>
      <c r="V39" s="25"/>
      <c r="W39" s="25"/>
      <c r="X39" s="14"/>
      <c r="Y39" s="14"/>
      <c r="AB39" s="14"/>
      <c r="AC39" s="25"/>
      <c r="AD39" s="25"/>
      <c r="AE39" s="14"/>
      <c r="AF39" s="14"/>
      <c r="AG39" s="25"/>
      <c r="AH39" s="25"/>
      <c r="AI39" s="14"/>
      <c r="AJ39" s="14"/>
      <c r="AK39" s="25"/>
      <c r="AL39" s="25"/>
      <c r="AM39" s="14"/>
      <c r="AN39" s="14"/>
      <c r="AO39" s="25"/>
      <c r="AP39" s="25"/>
      <c r="AQ39" s="14"/>
      <c r="AR39" s="14"/>
      <c r="AS39" s="25"/>
      <c r="AT39" s="25"/>
      <c r="AU39" s="14"/>
      <c r="AV39" s="14"/>
      <c r="AW39" s="25"/>
      <c r="AX39" s="25"/>
      <c r="AY39" s="14">
        <v>600</v>
      </c>
      <c r="AZ39" s="14"/>
      <c r="BA39" s="25"/>
      <c r="BB39" s="25"/>
      <c r="BC39" s="14">
        <v>210.25</v>
      </c>
      <c r="BD39" s="14"/>
      <c r="BE39" s="25"/>
      <c r="BF39" s="25"/>
      <c r="BG39" s="14"/>
      <c r="BH39" s="14"/>
      <c r="BI39" s="25"/>
      <c r="BJ39" s="25"/>
      <c r="BK39" s="14"/>
      <c r="BL39" s="7"/>
      <c r="BM39" s="24"/>
      <c r="BN39" s="24"/>
      <c r="BO39" s="7"/>
      <c r="BP39" s="7"/>
      <c r="BQ39" s="24"/>
      <c r="BR39" s="24"/>
      <c r="BS39" s="7"/>
      <c r="BT39" s="7"/>
      <c r="BU39" s="24"/>
      <c r="BV39" s="24"/>
      <c r="BW39" s="7"/>
      <c r="BX39" s="7"/>
      <c r="BY39" s="24"/>
      <c r="BZ39" s="7"/>
      <c r="CA39" s="7"/>
      <c r="CB39" s="24"/>
      <c r="CC39" s="7"/>
      <c r="CD39" s="7"/>
      <c r="CE39" s="24"/>
      <c r="CF39" s="7"/>
      <c r="CG39" s="7"/>
      <c r="CH39" s="24"/>
      <c r="CI39" s="7"/>
      <c r="CJ39" s="7"/>
      <c r="CK39" s="24" t="s">
        <v>132</v>
      </c>
      <c r="CL39" s="7">
        <v>60</v>
      </c>
      <c r="CM39" s="7"/>
      <c r="CN39" s="24"/>
      <c r="CO39" s="24"/>
      <c r="CP39" s="14"/>
      <c r="CQ39" s="7"/>
      <c r="CR39" s="7"/>
      <c r="CS39" s="7"/>
      <c r="CT39" s="7"/>
      <c r="CU39" s="7"/>
      <c r="CV39" s="7"/>
      <c r="CW39" s="7"/>
      <c r="CX39" s="31">
        <f>SUM(D39,H39,L39,P39,T39,X39,AA39,AE39,AI39,AM39,AQ39,BC39,BG39,BK39,BO39,BS39,BW39,BZ39,AU39,AY39,CC39,CF39,CI39,CL39,CP39,CS39,CV39)</f>
        <v>870.25</v>
      </c>
    </row>
    <row r="40" spans="1:102" x14ac:dyDescent="0.2">
      <c r="A40" s="10" t="s">
        <v>39</v>
      </c>
      <c r="B40" s="59" t="s">
        <v>175</v>
      </c>
      <c r="C40" s="59" t="s">
        <v>78</v>
      </c>
      <c r="D40" s="14">
        <v>300</v>
      </c>
      <c r="E40" s="14"/>
      <c r="F40" s="25"/>
      <c r="G40" s="25"/>
      <c r="H40" s="14"/>
      <c r="I40" s="14"/>
      <c r="J40" s="25"/>
      <c r="K40" s="25"/>
      <c r="L40" s="14"/>
      <c r="M40" s="14"/>
      <c r="N40" s="25"/>
      <c r="O40" s="25"/>
      <c r="P40" s="14"/>
      <c r="Q40" s="14"/>
      <c r="R40" s="25"/>
      <c r="S40" s="25"/>
      <c r="T40" s="14"/>
      <c r="U40" s="14"/>
      <c r="V40" s="25"/>
      <c r="W40" s="25"/>
      <c r="X40" s="14"/>
      <c r="Y40" s="14"/>
      <c r="Z40" s="25"/>
      <c r="AA40" s="14"/>
      <c r="AB40" s="14"/>
      <c r="AC40" s="25"/>
      <c r="AD40" s="25"/>
      <c r="AE40" s="14"/>
      <c r="AF40" s="14"/>
      <c r="AG40" s="25"/>
      <c r="AH40" s="25"/>
      <c r="AI40" s="14"/>
      <c r="AJ40" s="14"/>
      <c r="AK40" s="25"/>
      <c r="AL40" s="25"/>
      <c r="AM40" s="14"/>
      <c r="AN40" s="14"/>
      <c r="AO40" s="25"/>
      <c r="AP40" s="25"/>
      <c r="AQ40" s="14"/>
      <c r="AR40" s="14"/>
      <c r="AS40" s="25"/>
      <c r="AT40" s="25"/>
      <c r="AU40" s="14"/>
      <c r="AV40" s="14"/>
      <c r="AW40" s="25"/>
      <c r="AX40" s="25"/>
      <c r="AY40" s="14"/>
      <c r="AZ40" s="14"/>
      <c r="BA40" s="25"/>
      <c r="BB40" s="25"/>
      <c r="BC40" s="14"/>
      <c r="BD40" s="14"/>
      <c r="BE40" s="25"/>
      <c r="BF40" s="25"/>
      <c r="BG40" s="14"/>
      <c r="BH40" s="14"/>
      <c r="BI40" s="25"/>
      <c r="BJ40" s="25"/>
      <c r="BK40" s="14"/>
      <c r="BL40" s="7"/>
      <c r="BM40" s="24"/>
      <c r="BN40" s="24"/>
      <c r="BO40" s="7"/>
      <c r="BP40" s="7"/>
      <c r="BQ40" s="24"/>
      <c r="BR40" s="24"/>
      <c r="BS40" s="7"/>
      <c r="BT40" s="7"/>
      <c r="BU40" s="24"/>
      <c r="BV40" s="24"/>
      <c r="BW40" s="7"/>
      <c r="BX40" s="7"/>
      <c r="BY40" s="24"/>
      <c r="BZ40" s="7"/>
      <c r="CA40" s="7"/>
      <c r="CB40" s="24"/>
      <c r="CC40" s="7"/>
      <c r="CD40" s="7"/>
      <c r="CE40" s="24"/>
      <c r="CF40" s="7"/>
      <c r="CG40" s="7"/>
      <c r="CH40" s="24"/>
      <c r="CI40" s="7"/>
      <c r="CJ40" s="7"/>
      <c r="CK40" s="24"/>
      <c r="CL40" s="7"/>
      <c r="CM40" s="7"/>
      <c r="CN40" s="24"/>
      <c r="CO40" s="24"/>
      <c r="CP40" s="14"/>
      <c r="CQ40" s="7"/>
      <c r="CR40" s="7"/>
      <c r="CS40" s="7"/>
      <c r="CT40" s="7"/>
      <c r="CU40" s="7"/>
      <c r="CV40" s="7"/>
      <c r="CW40" s="7"/>
      <c r="CX40" s="31">
        <f>SUM(D40,H40,L40,P40,T40,X40,AA40,AE40,AI40,AM40,AQ40,BC40,BG40,BK40,BO40,BS40,BW40,BZ40,AU40,AY40,CC40,CF40,CI40,CL40,CP40,CS40,CV40)</f>
        <v>300</v>
      </c>
    </row>
    <row r="41" spans="1:102" x14ac:dyDescent="0.2">
      <c r="A41" s="10" t="s">
        <v>53</v>
      </c>
      <c r="B41" s="24"/>
      <c r="C41" s="24"/>
      <c r="D41" s="14"/>
      <c r="E41" s="14"/>
      <c r="F41" s="25"/>
      <c r="G41" s="25"/>
      <c r="H41" s="14"/>
      <c r="I41" s="14"/>
      <c r="J41" s="25">
        <v>16616</v>
      </c>
      <c r="K41" s="25"/>
      <c r="L41" s="80">
        <v>606.46</v>
      </c>
      <c r="M41" s="14"/>
      <c r="N41" s="25"/>
      <c r="O41" s="25"/>
      <c r="P41" s="14"/>
      <c r="Q41" s="14"/>
      <c r="R41" s="25"/>
      <c r="S41" s="25"/>
      <c r="T41" s="14"/>
      <c r="U41" s="14"/>
      <c r="V41" s="25"/>
      <c r="W41" s="25"/>
      <c r="X41" s="14"/>
      <c r="Y41" s="14"/>
      <c r="Z41" s="25"/>
      <c r="AA41" s="14"/>
      <c r="AB41" s="14"/>
      <c r="AC41" s="25"/>
      <c r="AD41" s="25"/>
      <c r="AE41" s="14"/>
      <c r="AF41" s="14"/>
      <c r="AG41" s="25" t="s">
        <v>89</v>
      </c>
      <c r="AH41" s="25"/>
      <c r="AI41" s="80">
        <v>500</v>
      </c>
      <c r="AJ41" s="14"/>
      <c r="AK41" s="25"/>
      <c r="AL41" s="25"/>
      <c r="AM41" s="14"/>
      <c r="AN41" s="14"/>
      <c r="AO41" s="25"/>
      <c r="AP41" s="25"/>
      <c r="AQ41" s="14"/>
      <c r="AR41" s="14"/>
      <c r="AS41" s="25" t="s">
        <v>139</v>
      </c>
      <c r="AT41" s="25" t="s">
        <v>76</v>
      </c>
      <c r="AU41" s="80">
        <v>2000</v>
      </c>
      <c r="AV41" s="14"/>
      <c r="AW41" s="25"/>
      <c r="AX41" s="25"/>
      <c r="AY41" s="14"/>
      <c r="AZ41" s="14"/>
      <c r="BA41" s="25"/>
      <c r="BB41" s="25"/>
      <c r="BC41" s="14"/>
      <c r="BD41" s="14"/>
      <c r="BE41" s="25"/>
      <c r="BF41" s="25"/>
      <c r="BG41" s="14"/>
      <c r="BH41" s="14"/>
      <c r="BI41" s="25"/>
      <c r="BJ41" s="25"/>
      <c r="BK41" s="14"/>
      <c r="BL41" s="7"/>
      <c r="BM41" s="24"/>
      <c r="BN41" s="24"/>
      <c r="BO41" s="7"/>
      <c r="BP41" s="7"/>
      <c r="BQ41" s="24"/>
      <c r="BR41" s="24"/>
      <c r="BS41" s="7"/>
      <c r="BT41" s="7"/>
      <c r="BU41" s="24"/>
      <c r="BV41" s="24"/>
      <c r="BW41" s="7"/>
      <c r="BX41" s="7"/>
      <c r="BY41" s="24"/>
      <c r="BZ41" s="7"/>
      <c r="CA41" s="7"/>
      <c r="CB41" s="24"/>
      <c r="CC41" s="7"/>
      <c r="CD41" s="7"/>
      <c r="CE41" s="24"/>
      <c r="CF41" s="7"/>
      <c r="CG41" s="7"/>
      <c r="CH41" s="24"/>
      <c r="CI41" s="7"/>
      <c r="CJ41" s="7"/>
      <c r="CK41" s="24"/>
      <c r="CL41" s="7"/>
      <c r="CM41" s="7"/>
      <c r="CN41" s="24"/>
      <c r="CO41" s="24"/>
      <c r="CP41" s="14"/>
      <c r="CQ41" s="7"/>
      <c r="CR41" s="7"/>
      <c r="CS41" s="7"/>
      <c r="CT41" s="7"/>
      <c r="CU41" s="7"/>
      <c r="CV41" s="7"/>
      <c r="CW41" s="7"/>
      <c r="CX41" s="31">
        <f>SUM(D41,H41,L41,P41,T41,X41,AA41,AE41,AI41,AM41,AQ41,BC41,BG41,BK41,BO41,BS41,BW41,BZ41,AU41,AY41,CC41,CF41,CI41,CL41,CP41,CS41,CV41)</f>
        <v>3106.46</v>
      </c>
    </row>
    <row r="42" spans="1:102" x14ac:dyDescent="0.2">
      <c r="A42" s="10" t="s">
        <v>30</v>
      </c>
      <c r="B42" s="24"/>
      <c r="C42" s="24"/>
      <c r="D42" s="14"/>
      <c r="E42" s="14"/>
      <c r="F42" s="25"/>
      <c r="G42" s="25"/>
      <c r="H42" s="14"/>
      <c r="I42" s="14"/>
      <c r="J42" s="25"/>
      <c r="K42" s="25"/>
      <c r="L42" s="14"/>
      <c r="M42" s="14"/>
      <c r="N42" s="25"/>
      <c r="O42" s="25"/>
      <c r="P42" s="14"/>
      <c r="Q42" s="14"/>
      <c r="R42" s="25" t="s">
        <v>82</v>
      </c>
      <c r="S42" s="25"/>
      <c r="T42" s="80">
        <v>500</v>
      </c>
      <c r="U42" s="14"/>
      <c r="V42" s="25"/>
      <c r="W42" s="25"/>
      <c r="X42" s="14"/>
      <c r="Y42" s="14"/>
      <c r="Z42" s="25"/>
      <c r="AA42" s="14"/>
      <c r="AB42" s="14"/>
      <c r="AC42" s="25"/>
      <c r="AD42" s="25"/>
      <c r="AE42" s="14"/>
      <c r="AF42" s="14"/>
      <c r="AG42" s="25"/>
      <c r="AH42" s="25"/>
      <c r="AI42" s="14"/>
      <c r="AJ42" s="14"/>
      <c r="AK42" s="25"/>
      <c r="AL42" s="25"/>
      <c r="AM42" s="14"/>
      <c r="AN42" s="14"/>
      <c r="AO42" s="25"/>
      <c r="AP42" s="25"/>
      <c r="AQ42" s="14"/>
      <c r="AR42" s="14"/>
      <c r="AS42" s="25"/>
      <c r="AT42" s="25"/>
      <c r="AU42" s="14"/>
      <c r="AV42" s="14"/>
      <c r="AW42" s="25"/>
      <c r="AX42" s="25"/>
      <c r="AY42" s="14">
        <v>2265</v>
      </c>
      <c r="AZ42" s="14"/>
      <c r="BA42" s="25"/>
      <c r="BB42" s="25"/>
      <c r="BC42" s="14"/>
      <c r="BD42" s="14"/>
      <c r="BE42" s="25"/>
      <c r="BF42" s="25"/>
      <c r="BG42" s="14"/>
      <c r="BH42" s="14"/>
      <c r="BI42" s="25"/>
      <c r="BJ42" s="25"/>
      <c r="BK42" s="14"/>
      <c r="BL42" s="7"/>
      <c r="BM42" s="24"/>
      <c r="BN42" s="24"/>
      <c r="BO42" s="7"/>
      <c r="BP42" s="7"/>
      <c r="BQ42" s="24"/>
      <c r="BR42" s="24"/>
      <c r="BS42" s="7"/>
      <c r="BT42" s="7"/>
      <c r="BU42" s="24"/>
      <c r="BV42" s="24"/>
      <c r="BW42" s="7"/>
      <c r="BX42" s="7"/>
      <c r="BY42" s="24"/>
      <c r="BZ42" s="7"/>
      <c r="CA42" s="7"/>
      <c r="CB42" s="24"/>
      <c r="CC42" s="7"/>
      <c r="CD42" s="7"/>
      <c r="CE42" s="24"/>
      <c r="CF42" s="7"/>
      <c r="CG42" s="7"/>
      <c r="CH42" s="24"/>
      <c r="CI42" s="7"/>
      <c r="CJ42" s="7"/>
      <c r="CK42" s="24"/>
      <c r="CL42" s="7"/>
      <c r="CM42" s="7"/>
      <c r="CN42" s="24"/>
      <c r="CO42" s="24"/>
      <c r="CP42" s="14"/>
      <c r="CQ42" s="7"/>
      <c r="CR42" s="7"/>
      <c r="CS42" s="7"/>
      <c r="CT42" s="7"/>
      <c r="CU42" s="7"/>
      <c r="CV42" s="7"/>
      <c r="CW42" s="7"/>
      <c r="CX42" s="31">
        <f>SUM(D42,H42,L42,P42,T42,X42,AA42,AE42,AI42,AM42,AQ42,BC42,BG42,BK42,BO42,BS42,BW42,BZ42,AU42,AY42,CC42,CF42,CI42,CL42,CP42,CS42,CV42)</f>
        <v>2765</v>
      </c>
    </row>
    <row r="44" spans="1:102" x14ac:dyDescent="0.2">
      <c r="A44" s="10" t="s">
        <v>52</v>
      </c>
      <c r="B44" s="24"/>
      <c r="C44" s="24"/>
      <c r="D44" s="14"/>
      <c r="E44" s="14"/>
      <c r="F44" s="25" t="s">
        <v>77</v>
      </c>
      <c r="G44" s="25" t="s">
        <v>76</v>
      </c>
      <c r="H44" s="80">
        <v>3480</v>
      </c>
      <c r="I44" s="14"/>
      <c r="J44" s="25"/>
      <c r="K44" s="25"/>
      <c r="L44" s="14"/>
      <c r="M44" s="14"/>
      <c r="N44" s="25"/>
      <c r="O44" s="25"/>
      <c r="P44" s="14"/>
      <c r="Q44" s="14"/>
      <c r="R44" s="25"/>
      <c r="S44" s="25"/>
      <c r="T44" s="14"/>
      <c r="U44" s="14"/>
      <c r="V44" s="25"/>
      <c r="W44" s="25"/>
      <c r="X44" s="14"/>
      <c r="Y44" s="14"/>
      <c r="Z44" s="25"/>
      <c r="AA44" s="14"/>
      <c r="AB44" s="14"/>
      <c r="AC44" s="25"/>
      <c r="AD44" s="25"/>
      <c r="AE44" s="14"/>
      <c r="AF44" s="14"/>
      <c r="AG44" s="25"/>
      <c r="AH44" s="25"/>
      <c r="AI44" s="14"/>
      <c r="AJ44" s="14"/>
      <c r="AK44" s="25"/>
      <c r="AL44" s="25"/>
      <c r="AM44" s="14"/>
      <c r="AN44" s="14"/>
      <c r="AO44" s="25"/>
      <c r="AP44" s="25"/>
      <c r="AQ44" s="14"/>
      <c r="AR44" s="14"/>
      <c r="AS44" s="25"/>
      <c r="AT44" s="25"/>
      <c r="AU44" s="14"/>
      <c r="AV44" s="14"/>
      <c r="AW44" s="25"/>
      <c r="AX44" s="25"/>
      <c r="AY44" s="14"/>
      <c r="AZ44" s="14"/>
      <c r="BA44" s="25"/>
      <c r="BB44" s="25"/>
      <c r="BC44" s="14"/>
      <c r="BD44" s="14"/>
      <c r="BE44" s="25"/>
      <c r="BF44" s="25"/>
      <c r="BG44" s="14"/>
      <c r="BH44" s="14"/>
      <c r="BI44" s="25"/>
      <c r="BJ44" s="25"/>
      <c r="BK44" s="14"/>
      <c r="BL44" s="7"/>
      <c r="BM44" s="24"/>
      <c r="BN44" s="24"/>
      <c r="BO44" s="7"/>
      <c r="BP44" s="7"/>
      <c r="BQ44" s="24"/>
      <c r="BR44" s="24"/>
      <c r="BS44" s="7"/>
      <c r="BT44" s="7"/>
      <c r="BU44" s="24"/>
      <c r="BV44" s="24"/>
      <c r="BW44" s="7"/>
      <c r="BX44" s="7"/>
      <c r="BY44" s="24"/>
      <c r="BZ44" s="7"/>
      <c r="CA44" s="7"/>
      <c r="CB44" s="24"/>
      <c r="CC44" s="7"/>
      <c r="CD44" s="7"/>
      <c r="CE44" s="24"/>
      <c r="CF44" s="7"/>
      <c r="CG44" s="7"/>
      <c r="CH44" s="24"/>
      <c r="CI44" s="7"/>
      <c r="CJ44" s="7"/>
      <c r="CK44" s="24"/>
      <c r="CL44" s="7"/>
      <c r="CM44" s="7"/>
      <c r="CN44" s="24"/>
      <c r="CO44" s="24"/>
      <c r="CP44" s="14"/>
      <c r="CQ44" s="7"/>
      <c r="CR44" s="7"/>
      <c r="CS44" s="7"/>
      <c r="CT44" s="7"/>
      <c r="CU44" s="7"/>
      <c r="CV44" s="7">
        <v>120</v>
      </c>
      <c r="CW44" s="7"/>
      <c r="CX44" s="31">
        <f>SUM(D44,H44,L44,P44,T44,X44,AA44,AE44,AI44,AM44,AQ44,BC44,BG44,BK44,BO44,BS44,BW44,BZ44,AU44,AY44,CC44,CF44,CI44,CL44,CP44,CS44,CV44)</f>
        <v>3600</v>
      </c>
    </row>
    <row r="45" spans="1:102" x14ac:dyDescent="0.2">
      <c r="A45" s="10" t="s">
        <v>54</v>
      </c>
      <c r="B45" s="24"/>
      <c r="C45" s="24"/>
      <c r="D45" s="14"/>
      <c r="E45" s="14"/>
      <c r="F45" s="25"/>
      <c r="G45" s="25"/>
      <c r="H45" s="14"/>
      <c r="I45" s="14"/>
      <c r="J45" s="25"/>
      <c r="K45" s="25"/>
      <c r="L45" s="14"/>
      <c r="M45" s="14"/>
      <c r="N45" s="25"/>
      <c r="O45" s="25"/>
      <c r="P45" s="14"/>
      <c r="Q45" s="14"/>
      <c r="R45" s="25"/>
      <c r="S45" s="25"/>
      <c r="T45" s="14"/>
      <c r="U45" s="14"/>
      <c r="V45" s="25" t="s">
        <v>86</v>
      </c>
      <c r="W45" s="25"/>
      <c r="X45" s="80">
        <v>1000</v>
      </c>
      <c r="Y45" s="14"/>
      <c r="Z45" s="25"/>
      <c r="AA45" s="14"/>
      <c r="AB45" s="14"/>
      <c r="AC45" s="25"/>
      <c r="AD45" s="25"/>
      <c r="AE45" s="14"/>
      <c r="AF45" s="14"/>
      <c r="AG45" s="25"/>
      <c r="AH45" s="25"/>
      <c r="AI45" s="14"/>
      <c r="AJ45" s="14"/>
      <c r="AK45" s="25"/>
      <c r="AL45" s="25"/>
      <c r="AM45" s="14"/>
      <c r="AN45" s="14"/>
      <c r="AO45" s="25"/>
      <c r="AP45" s="25"/>
      <c r="AQ45" s="14"/>
      <c r="AR45" s="14"/>
      <c r="AS45" s="25"/>
      <c r="AT45" s="25"/>
      <c r="AU45" s="14"/>
      <c r="AV45" s="14"/>
      <c r="AW45" s="25"/>
      <c r="AX45" s="25"/>
      <c r="AY45" s="14"/>
      <c r="AZ45" s="14"/>
      <c r="BA45" s="25"/>
      <c r="BB45" s="25"/>
      <c r="BC45" s="14"/>
      <c r="BD45" s="14"/>
      <c r="BE45" s="25"/>
      <c r="BF45" s="25"/>
      <c r="BG45" s="14"/>
      <c r="BH45" s="14"/>
      <c r="BI45" s="25"/>
      <c r="BJ45" s="25"/>
      <c r="BK45" s="14"/>
      <c r="BL45" s="7"/>
      <c r="BM45" s="24"/>
      <c r="BN45" s="24"/>
      <c r="BO45" s="7"/>
      <c r="BP45" s="7"/>
      <c r="BQ45" s="24"/>
      <c r="BR45" s="24"/>
      <c r="BS45" s="7"/>
      <c r="BT45" s="7"/>
      <c r="BU45" s="24"/>
      <c r="BV45" s="24"/>
      <c r="BW45" s="7"/>
      <c r="BX45" s="7"/>
      <c r="BY45" s="24"/>
      <c r="BZ45" s="7"/>
      <c r="CA45" s="7"/>
      <c r="CB45" s="24"/>
      <c r="CC45" s="7"/>
      <c r="CD45" s="7"/>
      <c r="CE45" s="24"/>
      <c r="CF45" s="7"/>
      <c r="CG45" s="7"/>
      <c r="CH45" s="24"/>
      <c r="CI45" s="7"/>
      <c r="CJ45" s="7"/>
      <c r="CK45" s="24"/>
      <c r="CL45" s="7">
        <v>166.92</v>
      </c>
      <c r="CM45" s="7"/>
      <c r="CN45" s="24"/>
      <c r="CO45" s="24"/>
      <c r="CP45" s="14"/>
      <c r="CQ45" s="7"/>
      <c r="CR45" s="7"/>
      <c r="CS45" s="7"/>
      <c r="CT45" s="7"/>
      <c r="CU45" s="7"/>
      <c r="CV45" s="7"/>
      <c r="CW45" s="7"/>
      <c r="CX45" s="31">
        <f>SUM(D45,H45,L45,P45,T45,X45,AA45,AE45,AI45,AM45,AQ45,BC45,BG45,BK45,BO45,BS45,BW45,BZ45,AU45,AY45,CC45,CF45,CI45,CL45,CP45,CS45,CV45)</f>
        <v>1166.92</v>
      </c>
    </row>
    <row r="46" spans="1:102" x14ac:dyDescent="0.2">
      <c r="A46" s="10" t="s">
        <v>26</v>
      </c>
      <c r="B46" s="24"/>
      <c r="C46" s="24"/>
      <c r="D46" s="14"/>
      <c r="E46" s="14"/>
      <c r="F46" s="25"/>
      <c r="G46" s="25"/>
      <c r="H46" s="14"/>
      <c r="I46" s="14"/>
      <c r="J46" s="25"/>
      <c r="K46" s="25"/>
      <c r="L46" s="14"/>
      <c r="M46" s="14"/>
      <c r="N46" s="25"/>
      <c r="O46" s="25"/>
      <c r="P46" s="14"/>
      <c r="Q46" s="14"/>
      <c r="R46" s="25"/>
      <c r="S46" s="25"/>
      <c r="T46" s="14"/>
      <c r="U46" s="14"/>
      <c r="V46" s="25"/>
      <c r="W46" s="25"/>
      <c r="X46" s="14"/>
      <c r="Y46" s="14"/>
      <c r="Z46" s="25"/>
      <c r="AA46" s="14"/>
      <c r="AB46" s="14"/>
      <c r="AC46" s="25" t="s">
        <v>87</v>
      </c>
      <c r="AD46" s="25"/>
      <c r="AE46" s="80">
        <v>325.69</v>
      </c>
      <c r="AF46" s="14"/>
      <c r="AG46" s="25"/>
      <c r="AH46" s="25"/>
      <c r="AI46" s="14"/>
      <c r="AJ46" s="14"/>
      <c r="AK46" s="25"/>
      <c r="AL46" s="25"/>
      <c r="AM46" s="14"/>
      <c r="AN46" s="14"/>
      <c r="AO46" s="25"/>
      <c r="AP46" s="25"/>
      <c r="AQ46" s="14"/>
      <c r="AR46" s="14"/>
      <c r="AS46" s="25"/>
      <c r="AT46" s="25"/>
      <c r="AU46" s="14"/>
      <c r="AV46" s="14"/>
      <c r="AW46" s="25"/>
      <c r="AX46" s="25"/>
      <c r="AY46" s="14">
        <v>1195</v>
      </c>
      <c r="AZ46" s="14"/>
      <c r="BA46" s="25"/>
      <c r="BB46" s="25"/>
      <c r="BC46" s="14">
        <v>173.6</v>
      </c>
      <c r="BD46" s="14"/>
      <c r="BE46" s="25"/>
      <c r="BF46" s="25"/>
      <c r="BG46" s="14"/>
      <c r="BH46" s="14"/>
      <c r="BI46" s="25"/>
      <c r="BJ46" s="25"/>
      <c r="BK46" s="14"/>
      <c r="BL46" s="7"/>
      <c r="BM46" s="24"/>
      <c r="BN46" s="24"/>
      <c r="BO46" s="7"/>
      <c r="BP46" s="7"/>
      <c r="BQ46" s="24"/>
      <c r="BR46" s="24"/>
      <c r="BS46" s="7"/>
      <c r="BT46" s="7"/>
      <c r="BU46" s="24"/>
      <c r="BV46" s="24"/>
      <c r="BW46" s="7"/>
      <c r="BX46" s="7"/>
      <c r="BY46" s="24"/>
      <c r="BZ46" s="7"/>
      <c r="CA46" s="7"/>
      <c r="CB46" s="24"/>
      <c r="CC46" s="7"/>
      <c r="CD46" s="7"/>
      <c r="CE46" s="24"/>
      <c r="CF46" s="7"/>
      <c r="CG46" s="7"/>
      <c r="CH46" s="24" t="s">
        <v>140</v>
      </c>
      <c r="CI46" s="7">
        <v>250</v>
      </c>
      <c r="CJ46" s="7"/>
      <c r="CK46" s="24"/>
      <c r="CL46" s="7"/>
      <c r="CM46" s="7"/>
      <c r="CN46" s="24"/>
      <c r="CO46" s="24"/>
      <c r="CP46" s="14"/>
      <c r="CQ46" s="7"/>
      <c r="CR46" s="7"/>
      <c r="CS46" s="7"/>
      <c r="CT46" s="7"/>
      <c r="CU46" s="7"/>
      <c r="CV46" s="7"/>
      <c r="CW46" s="7"/>
      <c r="CX46" s="31">
        <f>SUM(D46,H46,L46,P46,T46,X46,AA46,AE46,AI46,AM46,AQ46,BC46,BG46,BK46,BO46,BS46,BW46,BZ46,AU46,AY46,CC46,CF46,CI46,CL46,CP46,CS46,CV46)</f>
        <v>1944.29</v>
      </c>
    </row>
    <row r="47" spans="1:102" x14ac:dyDescent="0.2">
      <c r="A47" s="10" t="s">
        <v>37</v>
      </c>
      <c r="B47" s="24"/>
      <c r="C47" s="24"/>
      <c r="D47" s="14"/>
      <c r="E47" s="14"/>
      <c r="F47" s="25"/>
      <c r="G47" s="25"/>
      <c r="H47" s="14"/>
      <c r="I47" s="14"/>
      <c r="J47" s="25"/>
      <c r="K47" s="25"/>
      <c r="L47" s="14"/>
      <c r="M47" s="14"/>
      <c r="N47" s="25"/>
      <c r="O47" s="25"/>
      <c r="P47" s="14"/>
      <c r="Q47" s="14"/>
      <c r="R47" s="25"/>
      <c r="S47" s="25"/>
      <c r="T47" s="14"/>
      <c r="U47" s="14"/>
      <c r="V47" s="25"/>
      <c r="W47" s="25"/>
      <c r="X47" s="14"/>
      <c r="Y47" s="14"/>
      <c r="Z47" s="25"/>
      <c r="AA47" s="14"/>
      <c r="AB47" s="14"/>
      <c r="AC47" s="25"/>
      <c r="AD47" s="25"/>
      <c r="AE47" s="14"/>
      <c r="AF47" s="14"/>
      <c r="AG47" s="25"/>
      <c r="AH47" s="25"/>
      <c r="AI47" s="14"/>
      <c r="AJ47" s="14"/>
      <c r="AK47" s="25"/>
      <c r="AL47" s="25"/>
      <c r="AM47" s="14"/>
      <c r="AN47" s="14"/>
      <c r="AO47" s="25"/>
      <c r="AP47" s="25"/>
      <c r="AQ47" s="14"/>
      <c r="AR47" s="14"/>
      <c r="AS47" s="25"/>
      <c r="AT47" s="25"/>
      <c r="AU47" s="14"/>
      <c r="AV47" s="14"/>
      <c r="AW47" s="25"/>
      <c r="AX47" s="25"/>
      <c r="AY47" s="14"/>
      <c r="AZ47" s="14"/>
      <c r="BA47" s="25"/>
      <c r="BB47" s="25"/>
      <c r="BC47" s="14"/>
      <c r="BD47" s="14"/>
      <c r="BE47" s="25"/>
      <c r="BF47" s="25"/>
      <c r="BG47" s="14"/>
      <c r="BH47" s="14"/>
      <c r="BI47" s="25"/>
      <c r="BJ47" s="25"/>
      <c r="BK47" s="14"/>
      <c r="BL47" s="7"/>
      <c r="BM47" s="24"/>
      <c r="BN47" s="24"/>
      <c r="BO47" s="7"/>
      <c r="BP47" s="7"/>
      <c r="BQ47" s="24"/>
      <c r="BR47" s="24"/>
      <c r="BS47" s="7"/>
      <c r="BT47" s="7"/>
      <c r="BU47" s="24"/>
      <c r="BV47" s="24"/>
      <c r="BW47" s="7"/>
      <c r="BX47" s="7"/>
      <c r="BY47" s="24"/>
      <c r="BZ47" s="7"/>
      <c r="CA47" s="7"/>
      <c r="CB47" s="24"/>
      <c r="CC47" s="7"/>
      <c r="CD47" s="7"/>
      <c r="CE47" s="24"/>
      <c r="CF47" s="7"/>
      <c r="CG47" s="7"/>
      <c r="CH47" s="24"/>
      <c r="CI47" s="7"/>
      <c r="CJ47" s="7"/>
      <c r="CK47" s="24"/>
      <c r="CL47" s="7"/>
      <c r="CM47" s="7"/>
      <c r="CN47" s="24"/>
      <c r="CO47" s="24"/>
      <c r="CP47" s="14"/>
      <c r="CQ47" s="7"/>
      <c r="CR47" s="7"/>
      <c r="CS47" s="7"/>
      <c r="CT47" s="7"/>
      <c r="CU47" s="7"/>
      <c r="CV47" s="7"/>
      <c r="CW47" s="7"/>
      <c r="CX47" s="31">
        <f>SUM(D47,H47,L47,P47,T47,X47,AA47,AE47,AI47,AM47,AQ47,BC47,BG47,BK47,BO47,BS47,BW47,BZ47,AU47,AY47,CC47,CF47,CI47,CL47,CP47,CS47,CV47)</f>
        <v>0</v>
      </c>
    </row>
    <row r="48" spans="1:102" x14ac:dyDescent="0.2">
      <c r="A48" s="10" t="s">
        <v>38</v>
      </c>
      <c r="B48" s="59" t="s">
        <v>161</v>
      </c>
      <c r="C48" s="59" t="s">
        <v>76</v>
      </c>
      <c r="D48" s="14">
        <v>750</v>
      </c>
      <c r="E48" s="14"/>
      <c r="F48" s="25"/>
      <c r="G48" s="25"/>
      <c r="H48" s="14"/>
      <c r="I48" s="14"/>
      <c r="J48" s="25"/>
      <c r="K48" s="25"/>
      <c r="L48" s="14"/>
      <c r="M48" s="14"/>
      <c r="N48" s="25"/>
      <c r="O48" s="25"/>
      <c r="P48" s="14"/>
      <c r="Q48" s="14"/>
      <c r="R48" s="25"/>
      <c r="S48" s="25"/>
      <c r="T48" s="14"/>
      <c r="U48" s="14"/>
      <c r="V48" s="25"/>
      <c r="W48" s="25"/>
      <c r="X48" s="14"/>
      <c r="Y48" s="14"/>
      <c r="Z48" s="25"/>
      <c r="AA48" s="14"/>
      <c r="AB48" s="14"/>
      <c r="AC48" s="25"/>
      <c r="AD48" s="25"/>
      <c r="AE48" s="14"/>
      <c r="AF48" s="14"/>
      <c r="AG48" s="25"/>
      <c r="AH48" s="25"/>
      <c r="AI48" s="14"/>
      <c r="AJ48" s="14"/>
      <c r="AK48" s="25"/>
      <c r="AL48" s="25"/>
      <c r="AM48" s="14"/>
      <c r="AN48" s="14"/>
      <c r="AO48" s="25"/>
      <c r="AP48" s="25"/>
      <c r="AQ48" s="14"/>
      <c r="AR48" s="14"/>
      <c r="AS48" s="25"/>
      <c r="AT48" s="25"/>
      <c r="AU48" s="14"/>
      <c r="AV48" s="14"/>
      <c r="AW48" s="25"/>
      <c r="AX48" s="25"/>
      <c r="AY48" s="14"/>
      <c r="AZ48" s="14"/>
      <c r="BA48" s="25"/>
      <c r="BB48" s="25"/>
      <c r="BC48" s="14">
        <v>290.95999999999998</v>
      </c>
      <c r="BD48" s="14"/>
      <c r="BE48" s="25"/>
      <c r="BF48" s="25"/>
      <c r="BG48" s="14"/>
      <c r="BH48" s="14"/>
      <c r="BI48" s="25"/>
      <c r="BJ48" s="25"/>
      <c r="BK48" s="14"/>
      <c r="BL48" s="7"/>
      <c r="BM48" s="24"/>
      <c r="BN48" s="24"/>
      <c r="BO48" s="7"/>
      <c r="BP48" s="7"/>
      <c r="BQ48" s="24"/>
      <c r="BR48" s="24"/>
      <c r="BS48" s="7"/>
      <c r="BT48" s="7"/>
      <c r="BU48" s="24"/>
      <c r="BV48" s="24"/>
      <c r="BW48" s="7"/>
      <c r="BX48" s="7"/>
      <c r="BY48" s="24"/>
      <c r="BZ48" s="7"/>
      <c r="CA48" s="7"/>
      <c r="CB48" s="24"/>
      <c r="CC48" s="7"/>
      <c r="CD48" s="7"/>
      <c r="CE48" s="24"/>
      <c r="CF48" s="7">
        <v>189.33</v>
      </c>
      <c r="CG48" s="7"/>
      <c r="CH48" s="59"/>
      <c r="CI48" s="7"/>
      <c r="CJ48" s="7"/>
      <c r="CK48" s="24"/>
      <c r="CL48" s="7"/>
      <c r="CM48" s="7"/>
      <c r="CN48" s="24"/>
      <c r="CO48" s="24"/>
      <c r="CP48" s="14"/>
      <c r="CQ48" s="7"/>
      <c r="CR48" s="7"/>
      <c r="CS48" s="7"/>
      <c r="CT48" s="7"/>
      <c r="CU48" s="7"/>
      <c r="CV48" s="7"/>
      <c r="CW48" s="7"/>
      <c r="CX48" s="31">
        <f>SUM(D48,H48,L48,P48,T48,X48,AA48,AE48,AI48,AM48,AQ48,BC48,BG48,BK48,BO48,BS48,BW48,BZ48,AU48,AY48,CC48,CF48,CI48,CL48,CP48,CS48,CV48)</f>
        <v>1230.29</v>
      </c>
    </row>
    <row r="49" spans="1:102" x14ac:dyDescent="0.2">
      <c r="A49" s="10"/>
      <c r="B49" s="24"/>
      <c r="C49" s="24"/>
      <c r="D49" s="14"/>
      <c r="E49" s="14"/>
      <c r="F49" s="25"/>
      <c r="G49" s="25"/>
      <c r="H49" s="14"/>
      <c r="I49" s="14"/>
      <c r="J49" s="25"/>
      <c r="K49" s="25"/>
      <c r="L49" s="14"/>
      <c r="M49" s="14"/>
      <c r="N49" s="25"/>
      <c r="O49" s="25"/>
      <c r="P49" s="14"/>
      <c r="Q49" s="14"/>
      <c r="R49" s="25"/>
      <c r="S49" s="25"/>
      <c r="T49" s="14"/>
      <c r="U49" s="14"/>
      <c r="V49" s="25"/>
      <c r="W49" s="25"/>
      <c r="X49" s="14"/>
      <c r="Y49" s="14"/>
      <c r="Z49" s="25"/>
      <c r="AA49" s="14"/>
      <c r="AB49" s="14"/>
      <c r="AC49" s="25"/>
      <c r="AD49" s="25"/>
      <c r="AE49" s="14"/>
      <c r="AF49" s="14"/>
      <c r="AG49" s="25"/>
      <c r="AH49" s="25"/>
      <c r="AI49" s="14"/>
      <c r="AJ49" s="14"/>
      <c r="AK49" s="25"/>
      <c r="AL49" s="25"/>
      <c r="AM49" s="14"/>
      <c r="AN49" s="14"/>
      <c r="AO49" s="25"/>
      <c r="AP49" s="25"/>
      <c r="AQ49" s="14"/>
      <c r="AR49" s="14"/>
      <c r="AS49" s="25"/>
      <c r="AT49" s="25"/>
      <c r="AU49" s="14"/>
      <c r="AV49" s="14"/>
      <c r="AW49" s="25"/>
      <c r="AX49" s="25"/>
      <c r="AY49" s="14"/>
      <c r="AZ49" s="14"/>
      <c r="BA49" s="25"/>
      <c r="BB49" s="25"/>
      <c r="BC49" s="14"/>
      <c r="BD49" s="14"/>
      <c r="BE49" s="25"/>
      <c r="BF49" s="25"/>
      <c r="BG49" s="14"/>
      <c r="BH49" s="14"/>
      <c r="BI49" s="25"/>
      <c r="BJ49" s="25"/>
      <c r="BK49" s="14"/>
      <c r="BL49" s="7"/>
      <c r="BM49" s="24"/>
      <c r="BN49" s="24"/>
      <c r="BO49" s="7"/>
      <c r="BP49" s="7"/>
      <c r="BQ49" s="24"/>
      <c r="BR49" s="24"/>
      <c r="BS49" s="7"/>
      <c r="BT49" s="7"/>
      <c r="BU49" s="24"/>
      <c r="BV49" s="24"/>
      <c r="BW49" s="7"/>
      <c r="BX49" s="7"/>
      <c r="BY49" s="24"/>
      <c r="BZ49" s="7"/>
      <c r="CA49" s="7"/>
      <c r="CB49" s="24"/>
      <c r="CC49" s="7"/>
      <c r="CD49" s="7"/>
      <c r="CE49" s="24"/>
      <c r="CF49" s="7"/>
      <c r="CG49" s="7"/>
      <c r="CH49" s="24"/>
      <c r="CI49" s="7"/>
      <c r="CJ49" s="7"/>
      <c r="CK49" s="24"/>
      <c r="CL49" s="7"/>
      <c r="CM49" s="7"/>
      <c r="CN49" s="24"/>
      <c r="CO49" s="24"/>
      <c r="CP49" s="14"/>
      <c r="CQ49" s="7"/>
      <c r="CR49" s="7"/>
      <c r="CS49" s="7"/>
      <c r="CT49" s="7"/>
      <c r="CU49" s="7"/>
      <c r="CV49" s="7"/>
      <c r="CW49" s="7"/>
      <c r="CX49" s="31"/>
    </row>
    <row r="50" spans="1:102" x14ac:dyDescent="0.2">
      <c r="A50" s="10"/>
      <c r="B50" s="24"/>
      <c r="C50" s="24"/>
      <c r="D50" s="14"/>
      <c r="E50" s="14"/>
      <c r="F50" s="25"/>
      <c r="G50" s="25"/>
      <c r="H50" s="14"/>
      <c r="I50" s="14"/>
      <c r="J50" s="25"/>
      <c r="K50" s="25"/>
      <c r="L50" s="14"/>
      <c r="M50" s="14"/>
      <c r="N50" s="25"/>
      <c r="O50" s="25"/>
      <c r="P50" s="14"/>
      <c r="Q50" s="14"/>
      <c r="R50" s="25"/>
      <c r="S50" s="25"/>
      <c r="T50" s="14"/>
      <c r="U50" s="14"/>
      <c r="V50" s="25"/>
      <c r="W50" s="25"/>
      <c r="X50" s="14"/>
      <c r="Y50" s="14"/>
      <c r="Z50" s="25"/>
      <c r="AA50" s="14"/>
      <c r="AB50" s="14"/>
      <c r="AC50" s="25"/>
      <c r="AD50" s="25"/>
      <c r="AE50" s="14"/>
      <c r="AF50" s="14"/>
      <c r="AG50" s="25"/>
      <c r="AH50" s="25"/>
      <c r="AI50" s="14"/>
      <c r="AJ50" s="14"/>
      <c r="AK50" s="25"/>
      <c r="AL50" s="25"/>
      <c r="AM50" s="14"/>
      <c r="AN50" s="14"/>
      <c r="AO50" s="25"/>
      <c r="AP50" s="25"/>
      <c r="AQ50" s="14"/>
      <c r="AR50" s="14"/>
      <c r="AS50" s="25"/>
      <c r="AT50" s="25"/>
      <c r="AU50" s="14"/>
      <c r="AV50" s="14"/>
      <c r="AW50" s="25"/>
      <c r="AX50" s="25"/>
      <c r="AY50" s="14"/>
      <c r="AZ50" s="14"/>
      <c r="BA50" s="25"/>
      <c r="BB50" s="25"/>
      <c r="BC50" s="14"/>
      <c r="BD50" s="14"/>
      <c r="BE50" s="25"/>
      <c r="BF50" s="25"/>
      <c r="BG50" s="14"/>
      <c r="BH50" s="14"/>
      <c r="BI50" s="25"/>
      <c r="BJ50" s="25"/>
      <c r="BK50" s="14"/>
      <c r="BL50" s="7"/>
      <c r="BM50" s="24"/>
      <c r="BN50" s="24"/>
      <c r="BO50" s="7"/>
      <c r="BP50" s="7"/>
      <c r="BQ50" s="24"/>
      <c r="BR50" s="24"/>
      <c r="BS50" s="7"/>
      <c r="BT50" s="7"/>
      <c r="BU50" s="24"/>
      <c r="BV50" s="24"/>
      <c r="BW50" s="7"/>
      <c r="BX50" s="7"/>
      <c r="BY50" s="24"/>
      <c r="BZ50" s="7"/>
      <c r="CA50" s="7"/>
      <c r="CB50" s="24"/>
      <c r="CC50" s="7"/>
      <c r="CD50" s="7"/>
      <c r="CE50" s="24"/>
      <c r="CF50" s="7"/>
      <c r="CG50" s="7"/>
      <c r="CH50" s="24"/>
      <c r="CI50" s="7"/>
      <c r="CJ50" s="7"/>
      <c r="CK50" s="24"/>
      <c r="CL50" s="7"/>
      <c r="CM50" s="7"/>
      <c r="CN50" s="24"/>
      <c r="CO50" s="24"/>
      <c r="CP50" s="14"/>
      <c r="CQ50" s="7"/>
      <c r="CR50" s="7"/>
      <c r="CS50" s="7"/>
      <c r="CT50" s="7"/>
      <c r="CU50" s="7"/>
      <c r="CV50" s="7"/>
      <c r="CW50" s="7"/>
      <c r="CX50" s="31"/>
    </row>
    <row r="51" spans="1:102" x14ac:dyDescent="0.2">
      <c r="A51" s="12"/>
      <c r="B51" s="25"/>
      <c r="C51" s="25"/>
      <c r="D51" s="14"/>
      <c r="E51" s="14"/>
      <c r="F51" s="25"/>
      <c r="G51" s="25"/>
      <c r="H51" s="14"/>
      <c r="I51" s="14"/>
      <c r="J51" s="25"/>
      <c r="K51" s="25"/>
      <c r="L51" s="14"/>
      <c r="M51" s="14"/>
      <c r="N51" s="25"/>
      <c r="O51" s="25"/>
      <c r="P51" s="14"/>
      <c r="Q51" s="14"/>
      <c r="R51" s="25"/>
      <c r="S51" s="25"/>
      <c r="T51" s="14"/>
      <c r="U51" s="14"/>
      <c r="V51" s="25"/>
      <c r="W51" s="25"/>
      <c r="X51" s="14"/>
      <c r="Y51" s="14"/>
      <c r="Z51" s="25"/>
      <c r="AA51" s="14"/>
      <c r="AB51" s="14"/>
      <c r="AC51" s="25"/>
      <c r="AD51" s="25"/>
      <c r="AE51" s="14"/>
      <c r="AF51" s="14"/>
      <c r="AG51" s="25"/>
      <c r="AH51" s="25"/>
      <c r="AI51" s="14"/>
      <c r="AJ51" s="14"/>
      <c r="AK51" s="25"/>
      <c r="AL51" s="25"/>
      <c r="AM51" s="14"/>
      <c r="AN51" s="14"/>
      <c r="AO51" s="25"/>
      <c r="AP51" s="25"/>
      <c r="AQ51" s="14"/>
      <c r="AR51" s="14"/>
      <c r="AS51" s="25"/>
      <c r="AT51" s="25"/>
      <c r="AU51" s="14"/>
      <c r="AV51" s="14"/>
      <c r="AW51" s="25"/>
      <c r="AX51" s="25"/>
      <c r="AY51" s="14"/>
      <c r="AZ51" s="14"/>
      <c r="BA51" s="25"/>
      <c r="BB51" s="25"/>
      <c r="BC51" s="14"/>
      <c r="BD51" s="14"/>
      <c r="BE51" s="25"/>
      <c r="BF51" s="25"/>
      <c r="BG51" s="14"/>
      <c r="BH51" s="14"/>
      <c r="BI51" s="25"/>
      <c r="BJ51" s="25"/>
      <c r="BK51" s="14"/>
      <c r="BL51" s="7"/>
      <c r="BM51" s="25"/>
      <c r="BN51" s="25"/>
      <c r="BO51" s="7"/>
      <c r="BP51" s="7"/>
      <c r="BQ51" s="25"/>
      <c r="BR51" s="25"/>
      <c r="BS51" s="7"/>
      <c r="BT51" s="7"/>
      <c r="BU51" s="25"/>
      <c r="BV51" s="25"/>
      <c r="BW51" s="7"/>
      <c r="BX51" s="7"/>
      <c r="BY51" s="25"/>
      <c r="BZ51" s="7"/>
      <c r="CA51" s="7"/>
      <c r="CB51" s="25"/>
      <c r="CC51" s="7"/>
      <c r="CD51" s="7"/>
      <c r="CE51" s="25"/>
      <c r="CF51" s="7"/>
      <c r="CG51" s="7"/>
      <c r="CH51" s="25"/>
      <c r="CI51" s="7"/>
      <c r="CJ51" s="7"/>
      <c r="CK51" s="25"/>
      <c r="CL51" s="7"/>
      <c r="CM51" s="7"/>
      <c r="CN51" s="25"/>
      <c r="CO51" s="25"/>
      <c r="CP51" s="14"/>
      <c r="CQ51" s="7"/>
      <c r="CR51" s="7"/>
      <c r="CS51" s="7"/>
      <c r="CT51" s="7"/>
      <c r="CU51" s="7"/>
      <c r="CV51" s="7"/>
      <c r="CW51" s="7"/>
      <c r="CX51" s="31"/>
    </row>
    <row r="53" spans="1:102" x14ac:dyDescent="0.2">
      <c r="A53" s="12" t="s">
        <v>147</v>
      </c>
      <c r="B53" s="25"/>
      <c r="C53" s="25"/>
      <c r="D53" s="14"/>
      <c r="E53" s="14"/>
      <c r="F53" s="25"/>
      <c r="G53" s="25"/>
      <c r="H53" s="14"/>
      <c r="I53" s="14"/>
      <c r="J53" s="25"/>
      <c r="K53" s="25"/>
      <c r="L53" s="14"/>
      <c r="M53" s="14"/>
      <c r="N53" s="25"/>
      <c r="O53" s="25"/>
      <c r="P53" s="14"/>
      <c r="Q53" s="14"/>
      <c r="R53" s="25"/>
      <c r="S53" s="25"/>
      <c r="T53" s="14"/>
      <c r="U53" s="14"/>
      <c r="V53" s="25"/>
      <c r="W53" s="25"/>
      <c r="X53" s="14"/>
      <c r="Y53" s="14"/>
      <c r="Z53" s="25"/>
      <c r="AA53" s="14"/>
      <c r="AB53" s="14"/>
      <c r="AC53" s="25"/>
      <c r="AD53" s="25"/>
      <c r="AE53" s="14"/>
      <c r="AF53" s="14"/>
      <c r="AG53" s="25"/>
      <c r="AH53" s="25"/>
      <c r="AI53" s="14"/>
      <c r="AJ53" s="14"/>
      <c r="AK53" s="25"/>
      <c r="AL53" s="25"/>
      <c r="AM53" s="14"/>
      <c r="AN53" s="14"/>
      <c r="AO53" s="25"/>
      <c r="AP53" s="25"/>
      <c r="AQ53" s="14"/>
      <c r="AR53" s="14"/>
      <c r="AS53" s="25"/>
      <c r="AT53" s="25"/>
      <c r="AU53" s="14"/>
      <c r="AV53" s="14"/>
      <c r="AW53" s="25"/>
      <c r="AX53" s="25"/>
      <c r="AY53" s="14"/>
      <c r="AZ53" s="14"/>
      <c r="BA53" s="25"/>
      <c r="BB53" s="25"/>
      <c r="BC53" s="14"/>
      <c r="BD53" s="14"/>
      <c r="BE53" s="25"/>
      <c r="BF53" s="25"/>
      <c r="BG53" s="14"/>
      <c r="BH53" s="14"/>
      <c r="BI53" s="25"/>
      <c r="BJ53" s="25"/>
      <c r="BK53" s="14"/>
      <c r="BL53" s="7"/>
      <c r="BM53" s="25"/>
      <c r="BN53" s="25"/>
      <c r="BO53" s="7"/>
      <c r="BP53" s="7"/>
      <c r="BQ53" s="25"/>
      <c r="BR53" s="25"/>
      <c r="BS53" s="7"/>
      <c r="BT53" s="7"/>
      <c r="BU53" s="25"/>
      <c r="BV53" s="25"/>
      <c r="BW53" s="7"/>
      <c r="BX53" s="7"/>
      <c r="BY53" s="25"/>
      <c r="BZ53" s="7"/>
      <c r="CA53" s="7"/>
      <c r="CB53" s="25"/>
      <c r="CC53" s="7"/>
      <c r="CD53" s="7"/>
      <c r="CE53" s="25"/>
      <c r="CF53" s="7"/>
      <c r="CG53" s="7"/>
      <c r="CH53" s="25"/>
      <c r="CI53" s="7"/>
      <c r="CJ53" s="7"/>
      <c r="CK53" s="25"/>
      <c r="CL53" s="7"/>
      <c r="CM53" s="7"/>
      <c r="CN53" s="25"/>
      <c r="CO53" s="25"/>
      <c r="CP53" s="14"/>
      <c r="CQ53" s="7"/>
      <c r="CR53" s="7"/>
      <c r="CS53" s="7"/>
      <c r="CT53" s="7"/>
      <c r="CU53" s="7"/>
      <c r="CV53" s="7"/>
      <c r="CW53" s="7"/>
      <c r="CX53" s="31">
        <f>SUM(D53,H53,L53,P53,T53,X53,AA53,AE53,AI53,AM53,AQ53,BC53,BG53,BK53,BO53,BS53,BW53,BZ53,AU53,AY53,CC53,CF53,CI53,CL53,CP53,CS53,CV53)</f>
        <v>0</v>
      </c>
    </row>
    <row r="55" spans="1:102" x14ac:dyDescent="0.2">
      <c r="A55" s="10" t="s">
        <v>27</v>
      </c>
      <c r="B55" s="24"/>
      <c r="C55" s="24"/>
      <c r="D55" s="14"/>
      <c r="E55" s="14"/>
      <c r="F55" s="25"/>
      <c r="G55" s="25"/>
      <c r="H55" s="14"/>
      <c r="I55" s="14"/>
      <c r="J55" s="25"/>
      <c r="K55" s="25"/>
      <c r="L55" s="14"/>
      <c r="M55" s="14"/>
      <c r="N55" s="25"/>
      <c r="O55" s="25"/>
      <c r="P55" s="14"/>
      <c r="Q55" s="14"/>
      <c r="R55" s="25"/>
      <c r="S55" s="25"/>
      <c r="T55" s="14"/>
      <c r="U55" s="14"/>
      <c r="V55" s="25"/>
      <c r="W55" s="25"/>
      <c r="X55" s="14"/>
      <c r="Y55" s="14"/>
      <c r="Z55" s="25"/>
      <c r="AA55" s="14"/>
      <c r="AB55" s="14"/>
      <c r="AC55" s="25"/>
      <c r="AD55" s="25"/>
      <c r="AE55" s="14"/>
      <c r="AF55" s="14"/>
      <c r="AG55" s="25"/>
      <c r="AH55" s="25"/>
      <c r="AI55" s="14"/>
      <c r="AJ55" s="14"/>
      <c r="AK55" s="25"/>
      <c r="AL55" s="25"/>
      <c r="AM55" s="14"/>
      <c r="AN55" s="14"/>
      <c r="AO55" s="25"/>
      <c r="AP55" s="25"/>
      <c r="AQ55" s="14"/>
      <c r="AR55" s="14"/>
      <c r="AS55" s="25"/>
      <c r="AT55" s="25"/>
      <c r="AU55" s="14"/>
      <c r="AV55" s="14"/>
      <c r="AW55" s="25"/>
      <c r="AX55" s="25"/>
      <c r="AY55" s="14">
        <v>1339.2</v>
      </c>
      <c r="AZ55" s="14"/>
      <c r="BA55" s="25"/>
      <c r="BB55" s="25"/>
      <c r="BC55" s="14"/>
      <c r="BD55" s="14"/>
      <c r="BE55" s="25"/>
      <c r="BF55" s="25"/>
      <c r="BG55" s="14"/>
      <c r="BH55" s="14"/>
      <c r="BI55" s="25"/>
      <c r="BJ55" s="25"/>
      <c r="BK55" s="14"/>
      <c r="BL55" s="7"/>
      <c r="BM55" s="24"/>
      <c r="BN55" s="24"/>
      <c r="BO55" s="7"/>
      <c r="BP55" s="7"/>
      <c r="BQ55" s="24"/>
      <c r="BR55" s="24"/>
      <c r="BS55" s="7"/>
      <c r="BT55" s="7"/>
      <c r="BU55" s="24"/>
      <c r="BV55" s="24"/>
      <c r="BW55" s="7"/>
      <c r="BX55" s="7"/>
      <c r="BY55" s="24"/>
      <c r="BZ55" s="7">
        <v>20</v>
      </c>
      <c r="CA55" s="7"/>
      <c r="CB55" s="24"/>
      <c r="CC55" s="7"/>
      <c r="CD55" s="7"/>
      <c r="CE55" s="24"/>
      <c r="CF55" s="7"/>
      <c r="CG55" s="7"/>
      <c r="CH55" s="59" t="s">
        <v>159</v>
      </c>
      <c r="CJ55" s="7"/>
      <c r="CK55" s="24"/>
      <c r="CM55" s="7"/>
      <c r="CN55" s="24"/>
      <c r="CO55" s="24"/>
      <c r="CP55" s="14"/>
      <c r="CQ55" s="7"/>
      <c r="CR55" s="7"/>
      <c r="CS55" s="7"/>
      <c r="CT55" s="7"/>
      <c r="CU55" s="7"/>
      <c r="CV55" s="7"/>
      <c r="CW55" s="7"/>
      <c r="CX55" s="31">
        <f>SUM(D55,H55,L55,P55,T55,X55,AA55,AE55,AI55,AM55,AQ55,BC55,BG55,BK55,BO55,BS55,BW55,BZ55,AU55,AY55,CC55,CF55,CI55,CL55,CP55,CS55,CV55)</f>
        <v>1359.2</v>
      </c>
    </row>
    <row r="56" spans="1:102" x14ac:dyDescent="0.2">
      <c r="A56" s="10"/>
      <c r="B56" s="24"/>
      <c r="C56" s="24"/>
      <c r="D56" s="14"/>
      <c r="E56" s="14"/>
      <c r="F56" s="25"/>
      <c r="G56" s="25"/>
      <c r="H56" s="14"/>
      <c r="I56" s="14"/>
      <c r="J56" s="25"/>
      <c r="K56" s="25"/>
      <c r="L56" s="14"/>
      <c r="M56" s="14"/>
      <c r="N56" s="25"/>
      <c r="O56" s="25"/>
      <c r="P56" s="14"/>
      <c r="Q56" s="14"/>
      <c r="R56" s="25"/>
      <c r="S56" s="25"/>
      <c r="T56" s="14"/>
      <c r="U56" s="14"/>
      <c r="V56" s="25"/>
      <c r="W56" s="25"/>
      <c r="X56" s="14"/>
      <c r="Y56" s="14"/>
      <c r="Z56" s="25"/>
      <c r="AA56" s="14"/>
      <c r="AB56" s="14"/>
      <c r="AC56" s="25"/>
      <c r="AD56" s="25"/>
      <c r="AE56" s="14"/>
      <c r="AF56" s="14"/>
      <c r="AG56" s="25"/>
      <c r="AH56" s="25"/>
      <c r="AI56" s="14"/>
      <c r="AJ56" s="14"/>
      <c r="AK56" s="25"/>
      <c r="AL56" s="25"/>
      <c r="AM56" s="14"/>
      <c r="AN56" s="14"/>
      <c r="AO56" s="25"/>
      <c r="AP56" s="25"/>
      <c r="AQ56" s="14"/>
      <c r="AR56" s="14"/>
      <c r="AS56" s="25"/>
      <c r="AT56" s="25"/>
      <c r="AU56" s="14"/>
      <c r="AV56" s="14"/>
      <c r="AW56" s="25"/>
      <c r="AX56" s="25"/>
      <c r="AY56" s="14"/>
      <c r="AZ56" s="14"/>
      <c r="BA56" s="25"/>
      <c r="BB56" s="25"/>
      <c r="BC56" s="14"/>
      <c r="BD56" s="14"/>
      <c r="BE56" s="25"/>
      <c r="BF56" s="25"/>
      <c r="BG56" s="14"/>
      <c r="BH56" s="14"/>
      <c r="BI56" s="25"/>
      <c r="BJ56" s="25"/>
      <c r="BK56" s="14"/>
      <c r="BL56" s="7"/>
      <c r="BM56" s="24"/>
      <c r="BN56" s="24"/>
      <c r="BO56" s="7"/>
      <c r="BP56" s="7"/>
      <c r="BQ56" s="24"/>
      <c r="BR56" s="24"/>
      <c r="BS56" s="7"/>
      <c r="BT56" s="7"/>
      <c r="BU56" s="24"/>
      <c r="BV56" s="24"/>
      <c r="BW56" s="7"/>
      <c r="BX56" s="7"/>
      <c r="BY56" s="24"/>
      <c r="BZ56" s="7"/>
      <c r="CA56" s="7"/>
      <c r="CB56" s="24"/>
      <c r="CC56" s="7"/>
      <c r="CD56" s="7"/>
      <c r="CE56" s="24"/>
      <c r="CF56" s="7"/>
      <c r="CG56" s="7"/>
      <c r="CH56" s="24"/>
      <c r="CI56" s="7"/>
      <c r="CJ56" s="7"/>
      <c r="CK56" s="24"/>
      <c r="CM56" s="7"/>
      <c r="CN56" s="24"/>
      <c r="CO56" s="24"/>
      <c r="CP56" s="14"/>
      <c r="CQ56" s="7"/>
      <c r="CR56" s="7"/>
      <c r="CS56" s="7"/>
      <c r="CT56" s="7"/>
      <c r="CU56" s="7"/>
      <c r="CV56" s="7"/>
      <c r="CW56" s="7"/>
      <c r="CX56" s="31"/>
    </row>
    <row r="57" spans="1:102" x14ac:dyDescent="0.2">
      <c r="A57" s="10"/>
      <c r="B57" s="24"/>
      <c r="C57" s="24"/>
      <c r="D57" s="14"/>
      <c r="E57" s="14"/>
      <c r="F57" s="25"/>
      <c r="G57" s="25"/>
      <c r="H57" s="14"/>
      <c r="I57" s="14"/>
      <c r="J57" s="25"/>
      <c r="K57" s="25"/>
      <c r="L57" s="14"/>
      <c r="M57" s="14"/>
      <c r="N57" s="25"/>
      <c r="O57" s="25"/>
      <c r="P57" s="14"/>
      <c r="Q57" s="14"/>
      <c r="R57" s="25"/>
      <c r="S57" s="25"/>
      <c r="T57" s="14"/>
      <c r="U57" s="14"/>
      <c r="V57" s="25"/>
      <c r="W57" s="25"/>
      <c r="X57" s="14"/>
      <c r="Y57" s="14"/>
      <c r="Z57" s="25"/>
      <c r="AA57" s="14"/>
      <c r="AB57" s="14"/>
      <c r="AC57" s="25"/>
      <c r="AD57" s="25"/>
      <c r="AE57" s="14"/>
      <c r="AF57" s="14"/>
      <c r="AG57" s="25"/>
      <c r="AH57" s="25"/>
      <c r="AI57" s="14"/>
      <c r="AJ57" s="14"/>
      <c r="AK57" s="25"/>
      <c r="AL57" s="25"/>
      <c r="AM57" s="14"/>
      <c r="AN57" s="14"/>
      <c r="AO57" s="25"/>
      <c r="AP57" s="25"/>
      <c r="AQ57" s="14"/>
      <c r="AR57" s="14"/>
      <c r="AS57" s="25"/>
      <c r="AT57" s="25"/>
      <c r="AU57" s="14"/>
      <c r="AV57" s="14"/>
      <c r="AW57" s="25"/>
      <c r="AX57" s="25"/>
      <c r="AY57" s="14"/>
      <c r="AZ57" s="14"/>
      <c r="BA57" s="25"/>
      <c r="BB57" s="25"/>
      <c r="BC57" s="14"/>
      <c r="BD57" s="14"/>
      <c r="BE57" s="25"/>
      <c r="BF57" s="25"/>
      <c r="BG57" s="14"/>
      <c r="BH57" s="14"/>
      <c r="BI57" s="25"/>
      <c r="BJ57" s="25"/>
      <c r="BK57" s="14"/>
      <c r="BL57" s="7"/>
      <c r="BM57" s="24"/>
      <c r="BN57" s="24"/>
      <c r="BO57" s="7"/>
      <c r="BP57" s="7"/>
      <c r="BQ57" s="24"/>
      <c r="BR57" s="24"/>
      <c r="BS57" s="7"/>
      <c r="BT57" s="7"/>
      <c r="BU57" s="24"/>
      <c r="BV57" s="24"/>
      <c r="BW57" s="7"/>
      <c r="BX57" s="7"/>
      <c r="BY57" s="24"/>
      <c r="BZ57" s="7"/>
      <c r="CA57" s="7"/>
      <c r="CB57" s="24"/>
      <c r="CC57" s="7"/>
      <c r="CD57" s="7"/>
      <c r="CE57" s="24"/>
      <c r="CF57" s="7"/>
      <c r="CG57" s="7"/>
      <c r="CH57" s="24"/>
      <c r="CI57" s="7"/>
      <c r="CJ57" s="7"/>
      <c r="CK57" s="24"/>
      <c r="CL57" s="7"/>
      <c r="CM57" s="7"/>
      <c r="CN57" s="24"/>
      <c r="CO57" s="24"/>
      <c r="CP57" s="14"/>
      <c r="CQ57" s="7"/>
      <c r="CR57" s="7"/>
      <c r="CS57" s="7"/>
      <c r="CT57" s="7"/>
      <c r="CU57" s="7"/>
      <c r="CV57" s="7"/>
      <c r="CW57" s="7"/>
      <c r="CX57" s="31"/>
    </row>
    <row r="59" spans="1:102" x14ac:dyDescent="0.2">
      <c r="A59" s="10"/>
      <c r="B59" s="24"/>
      <c r="C59" s="24"/>
      <c r="D59" s="14"/>
      <c r="E59" s="14"/>
      <c r="F59" s="25"/>
      <c r="G59" s="25"/>
      <c r="H59" s="14"/>
      <c r="I59" s="14"/>
      <c r="J59" s="25"/>
      <c r="K59" s="25"/>
      <c r="L59" s="14"/>
      <c r="M59" s="14"/>
      <c r="N59" s="25"/>
      <c r="O59" s="25"/>
      <c r="P59" s="14"/>
      <c r="Q59" s="14"/>
      <c r="R59" s="25"/>
      <c r="S59" s="25"/>
      <c r="T59" s="14"/>
      <c r="U59" s="14"/>
      <c r="V59" s="25"/>
      <c r="W59" s="25"/>
      <c r="X59" s="14"/>
      <c r="Y59" s="14"/>
      <c r="Z59" s="25"/>
      <c r="AA59" s="14"/>
      <c r="AB59" s="14"/>
      <c r="AC59" s="25"/>
      <c r="AD59" s="25"/>
      <c r="AE59" s="14"/>
      <c r="AF59" s="14"/>
      <c r="AG59" s="25"/>
      <c r="AH59" s="25"/>
      <c r="AI59" s="14"/>
      <c r="AJ59" s="14"/>
      <c r="AK59" s="25"/>
      <c r="AL59" s="25"/>
      <c r="AM59" s="14"/>
      <c r="AN59" s="14"/>
      <c r="AO59" s="25"/>
      <c r="AP59" s="25"/>
      <c r="AQ59" s="14"/>
      <c r="AR59" s="14"/>
      <c r="AS59" s="25"/>
      <c r="AT59" s="25"/>
      <c r="AU59" s="14"/>
      <c r="AV59" s="14"/>
      <c r="AW59" s="25"/>
      <c r="AX59" s="25"/>
      <c r="AY59" s="14"/>
      <c r="AZ59" s="14"/>
      <c r="BA59" s="25"/>
      <c r="BB59" s="25"/>
      <c r="BC59" s="14"/>
      <c r="BD59" s="14"/>
      <c r="BE59" s="25"/>
      <c r="BF59" s="25"/>
      <c r="BG59" s="14"/>
      <c r="BH59" s="14"/>
      <c r="BI59" s="25"/>
      <c r="BJ59" s="25"/>
      <c r="BK59" s="14"/>
      <c r="BL59" s="7"/>
      <c r="BM59" s="24"/>
      <c r="BN59" s="24"/>
      <c r="BO59" s="7"/>
      <c r="BP59" s="7"/>
      <c r="BQ59" s="24"/>
      <c r="BR59" s="24"/>
      <c r="BS59" s="7"/>
      <c r="BT59" s="7"/>
      <c r="BU59" s="24"/>
      <c r="BV59" s="24"/>
      <c r="BW59" s="7"/>
      <c r="BX59" s="7"/>
      <c r="BY59" s="24"/>
      <c r="BZ59" s="7"/>
      <c r="CA59" s="7"/>
      <c r="CB59" s="24"/>
      <c r="CC59" s="7"/>
      <c r="CD59" s="7"/>
      <c r="CE59" s="24"/>
      <c r="CF59" s="7"/>
      <c r="CG59" s="7"/>
      <c r="CH59" s="24"/>
      <c r="CI59" s="7"/>
      <c r="CJ59" s="7"/>
      <c r="CK59" s="24"/>
      <c r="CL59" s="7"/>
      <c r="CM59" s="7"/>
      <c r="CN59" s="24"/>
      <c r="CO59" s="24"/>
      <c r="CP59" s="14"/>
      <c r="CQ59" s="7"/>
      <c r="CR59" s="7"/>
      <c r="CS59" s="7"/>
      <c r="CT59" s="7"/>
      <c r="CU59" s="7"/>
      <c r="CV59" s="7"/>
      <c r="CW59" s="7"/>
      <c r="CX59" s="31"/>
    </row>
    <row r="60" spans="1:102" hidden="1" x14ac:dyDescent="0.2">
      <c r="A60" s="10" t="s">
        <v>40</v>
      </c>
      <c r="B60" s="24"/>
      <c r="C60" s="24"/>
      <c r="D60" s="14"/>
      <c r="E60" s="14"/>
      <c r="F60" s="25"/>
      <c r="G60" s="25"/>
      <c r="H60" s="14"/>
      <c r="I60" s="14"/>
      <c r="J60" s="25"/>
      <c r="K60" s="25"/>
      <c r="L60" s="14"/>
      <c r="M60" s="14"/>
      <c r="N60" s="25"/>
      <c r="O60" s="25"/>
      <c r="P60" s="14"/>
      <c r="Q60" s="14"/>
      <c r="R60" s="25"/>
      <c r="S60" s="25"/>
      <c r="T60" s="14"/>
      <c r="U60" s="14"/>
      <c r="V60" s="25"/>
      <c r="W60" s="25"/>
      <c r="X60" s="14"/>
      <c r="Y60" s="14"/>
      <c r="Z60" s="25"/>
      <c r="AA60" s="14"/>
      <c r="AB60" s="14"/>
      <c r="AC60" s="25"/>
      <c r="AD60" s="25"/>
      <c r="AE60" s="14"/>
      <c r="AF60" s="14"/>
      <c r="AG60" s="25"/>
      <c r="AH60" s="25"/>
      <c r="AI60" s="14"/>
      <c r="AJ60" s="14"/>
      <c r="AK60" s="25"/>
      <c r="AL60" s="25"/>
      <c r="AM60" s="14"/>
      <c r="AN60" s="14"/>
      <c r="AO60" s="25"/>
      <c r="AP60" s="25"/>
      <c r="AQ60" s="14"/>
      <c r="AR60" s="14"/>
      <c r="AS60" s="25"/>
      <c r="AT60" s="25"/>
      <c r="AU60" s="14"/>
      <c r="AV60" s="14"/>
      <c r="AW60" s="25"/>
      <c r="AX60" s="25"/>
      <c r="AY60" s="14"/>
      <c r="AZ60" s="14"/>
      <c r="BA60" s="25"/>
      <c r="BB60" s="25"/>
      <c r="BC60" s="14"/>
      <c r="BD60" s="14"/>
      <c r="BE60" s="25"/>
      <c r="BF60" s="25"/>
      <c r="BG60" s="14"/>
      <c r="BH60" s="14"/>
      <c r="BI60" s="25"/>
      <c r="BJ60" s="25"/>
      <c r="BK60" s="14"/>
      <c r="BL60" s="7"/>
      <c r="BM60" s="24"/>
      <c r="BN60" s="24"/>
      <c r="BO60" s="7"/>
      <c r="BP60" s="7"/>
      <c r="BQ60" s="24"/>
      <c r="BR60" s="24"/>
      <c r="BS60" s="7"/>
      <c r="BT60" s="7"/>
      <c r="BU60" s="24"/>
      <c r="BV60" s="24"/>
      <c r="BW60" s="7"/>
      <c r="BX60" s="7"/>
      <c r="BY60" s="24"/>
      <c r="BZ60" s="7"/>
      <c r="CA60" s="7"/>
      <c r="CB60" s="24"/>
      <c r="CC60" s="7"/>
      <c r="CD60" s="7"/>
      <c r="CE60" s="24"/>
      <c r="CF60" s="7"/>
      <c r="CG60" s="7"/>
      <c r="CH60" s="24"/>
      <c r="CI60" s="7"/>
      <c r="CJ60" s="7"/>
      <c r="CK60" s="24"/>
      <c r="CL60" s="7"/>
      <c r="CM60" s="7"/>
      <c r="CN60" s="24"/>
      <c r="CO60" s="24"/>
      <c r="CP60" s="14"/>
      <c r="CQ60" s="7"/>
      <c r="CR60" s="7"/>
      <c r="CS60" s="7"/>
      <c r="CT60" s="7"/>
      <c r="CU60" s="7"/>
      <c r="CV60" s="7"/>
      <c r="CW60" s="7"/>
      <c r="CX60" s="31">
        <f>SUM(D60,H60,L60,P60,T60,X60,AA60,AE60,AI60,AM60,AQ60,BC60,BG60,BK60,BO60,BS60,BW60,BZ60,AU60,AY60,CC60,CF60,CI60,CL60,CP60,CS60,CV60)</f>
        <v>0</v>
      </c>
    </row>
    <row r="61" spans="1:102" x14ac:dyDescent="0.2">
      <c r="A61" s="10"/>
      <c r="B61" s="24"/>
      <c r="C61" s="24"/>
      <c r="D61" s="14"/>
      <c r="E61" s="14"/>
      <c r="F61" s="25"/>
      <c r="G61" s="25"/>
      <c r="H61" s="14"/>
      <c r="I61" s="14"/>
      <c r="J61" s="25"/>
      <c r="K61" s="25"/>
      <c r="L61" s="14"/>
      <c r="M61" s="14"/>
      <c r="N61" s="25"/>
      <c r="O61" s="25"/>
      <c r="P61" s="14"/>
      <c r="Q61" s="14"/>
      <c r="R61" s="25"/>
      <c r="S61" s="25"/>
      <c r="T61" s="14"/>
      <c r="U61" s="14"/>
      <c r="V61" s="25"/>
      <c r="W61" s="25"/>
      <c r="X61" s="14"/>
      <c r="Y61" s="14"/>
      <c r="Z61" s="25"/>
      <c r="AA61" s="14"/>
      <c r="AB61" s="14"/>
      <c r="AC61" s="25"/>
      <c r="AD61" s="25"/>
      <c r="AE61" s="14"/>
      <c r="AF61" s="14"/>
      <c r="AG61" s="25"/>
      <c r="AH61" s="25"/>
      <c r="AI61" s="14"/>
      <c r="AJ61" s="14"/>
      <c r="AK61" s="25"/>
      <c r="AL61" s="25"/>
      <c r="AM61" s="14"/>
      <c r="AN61" s="14"/>
      <c r="AO61" s="25"/>
      <c r="AP61" s="25"/>
      <c r="AQ61" s="14"/>
      <c r="AR61" s="14"/>
      <c r="AS61" s="25"/>
      <c r="AT61" s="25"/>
      <c r="AU61" s="14"/>
      <c r="AV61" s="14"/>
      <c r="AW61" s="25"/>
      <c r="AX61" s="25"/>
      <c r="AY61" s="14"/>
      <c r="AZ61" s="14"/>
      <c r="BA61" s="25"/>
      <c r="BB61" s="25"/>
      <c r="BC61" s="14"/>
      <c r="BD61" s="14"/>
      <c r="BE61" s="25"/>
      <c r="BF61" s="25"/>
      <c r="BG61" s="14"/>
      <c r="BH61" s="14"/>
      <c r="BI61" s="25"/>
      <c r="BJ61" s="25"/>
      <c r="BK61" s="14"/>
      <c r="BL61" s="7"/>
      <c r="BM61" s="24"/>
      <c r="BN61" s="24"/>
      <c r="BO61" s="7"/>
      <c r="BP61" s="7"/>
      <c r="BQ61" s="24"/>
      <c r="BR61" s="24"/>
      <c r="BS61" s="7"/>
      <c r="BT61" s="7"/>
      <c r="BU61" s="24"/>
      <c r="BV61" s="24"/>
      <c r="BW61" s="7"/>
      <c r="BX61" s="7"/>
      <c r="BY61" s="24"/>
      <c r="BZ61" s="7"/>
      <c r="CA61" s="7"/>
      <c r="CB61" s="24"/>
      <c r="CC61" s="7"/>
      <c r="CD61" s="7"/>
      <c r="CE61" s="24"/>
      <c r="CF61" s="7"/>
      <c r="CG61" s="7"/>
      <c r="CH61" s="24"/>
      <c r="CI61" s="7"/>
      <c r="CJ61" s="7"/>
      <c r="CK61" s="24"/>
      <c r="CL61" s="7"/>
      <c r="CM61" s="7"/>
      <c r="CN61" s="24"/>
      <c r="CO61" s="24"/>
      <c r="CP61" s="14"/>
      <c r="CQ61" s="7"/>
      <c r="CR61" s="7"/>
      <c r="CS61" s="7"/>
      <c r="CT61" s="7"/>
      <c r="CU61" s="7"/>
      <c r="CV61" s="7"/>
      <c r="CW61" s="7"/>
      <c r="CX61" s="31"/>
    </row>
    <row r="62" spans="1:102" x14ac:dyDescent="0.2">
      <c r="A62" s="10"/>
      <c r="B62" s="24"/>
      <c r="C62" s="24"/>
      <c r="D62" s="14"/>
      <c r="E62" s="14"/>
      <c r="F62" s="25"/>
      <c r="G62" s="25"/>
      <c r="H62" s="14"/>
      <c r="I62" s="14"/>
      <c r="J62" s="25"/>
      <c r="K62" s="25"/>
      <c r="L62" s="14"/>
      <c r="M62" s="14"/>
      <c r="N62" s="25"/>
      <c r="O62" s="25"/>
      <c r="P62" s="14"/>
      <c r="Q62" s="14"/>
      <c r="R62" s="25"/>
      <c r="S62" s="25"/>
      <c r="T62" s="14"/>
      <c r="U62" s="14"/>
      <c r="V62" s="25"/>
      <c r="W62" s="25"/>
      <c r="X62" s="14"/>
      <c r="Y62" s="14"/>
      <c r="Z62" s="25"/>
      <c r="AA62" s="14"/>
      <c r="AB62" s="14"/>
      <c r="AC62" s="25"/>
      <c r="AD62" s="25"/>
      <c r="AE62" s="14"/>
      <c r="AF62" s="14"/>
      <c r="AG62" s="25"/>
      <c r="AH62" s="25"/>
      <c r="AI62" s="14"/>
      <c r="AJ62" s="14"/>
      <c r="AK62" s="25"/>
      <c r="AL62" s="25"/>
      <c r="AM62" s="14"/>
      <c r="AN62" s="14"/>
      <c r="AO62" s="25"/>
      <c r="AP62" s="25"/>
      <c r="AQ62" s="14"/>
      <c r="AR62" s="14"/>
      <c r="AS62" s="25"/>
      <c r="AT62" s="25"/>
      <c r="AU62" s="14"/>
      <c r="AV62" s="14"/>
      <c r="AW62" s="25"/>
      <c r="AX62" s="25"/>
      <c r="AY62" s="14"/>
      <c r="AZ62" s="14"/>
      <c r="BA62" s="25"/>
      <c r="BB62" s="25"/>
      <c r="BC62" s="14"/>
      <c r="BD62" s="14"/>
      <c r="BE62" s="25"/>
      <c r="BF62" s="25"/>
      <c r="BG62" s="14"/>
      <c r="BH62" s="14"/>
      <c r="BI62" s="25"/>
      <c r="BJ62" s="25"/>
      <c r="BK62" s="14"/>
      <c r="BL62" s="7"/>
      <c r="BM62" s="24"/>
      <c r="BN62" s="24"/>
      <c r="BO62" s="7"/>
      <c r="BP62" s="7"/>
      <c r="BQ62" s="24"/>
      <c r="BR62" s="24"/>
      <c r="BS62" s="7"/>
      <c r="BT62" s="7"/>
      <c r="BU62" s="24"/>
      <c r="BV62" s="24"/>
      <c r="BW62" s="7"/>
      <c r="BX62" s="7"/>
      <c r="BY62" s="24"/>
      <c r="BZ62" s="7"/>
      <c r="CA62" s="7"/>
      <c r="CB62" s="24"/>
      <c r="CC62" s="7"/>
      <c r="CD62" s="7"/>
      <c r="CE62" s="24"/>
      <c r="CF62" s="7"/>
      <c r="CG62" s="7"/>
      <c r="CH62" s="24"/>
      <c r="CI62" s="7"/>
      <c r="CJ62" s="7"/>
      <c r="CK62" s="24"/>
      <c r="CL62" s="7"/>
      <c r="CM62" s="7"/>
      <c r="CN62" s="24"/>
      <c r="CO62" s="24"/>
      <c r="CP62" s="14"/>
      <c r="CQ62" s="7"/>
      <c r="CR62" s="7"/>
      <c r="CS62" s="7"/>
      <c r="CT62" s="7"/>
      <c r="CU62" s="7"/>
      <c r="CV62" s="7"/>
      <c r="CW62" s="7"/>
      <c r="CX62" s="31"/>
    </row>
    <row r="63" spans="1:102" hidden="1" x14ac:dyDescent="0.2">
      <c r="A63" s="10" t="s">
        <v>32</v>
      </c>
      <c r="B63" s="24"/>
      <c r="C63" s="24"/>
      <c r="D63" s="14"/>
      <c r="E63" s="14"/>
      <c r="F63" s="25"/>
      <c r="G63" s="25"/>
      <c r="H63" s="14"/>
      <c r="I63" s="14"/>
      <c r="J63" s="25"/>
      <c r="K63" s="25"/>
      <c r="L63" s="14"/>
      <c r="M63" s="14"/>
      <c r="N63" s="25"/>
      <c r="O63" s="25"/>
      <c r="P63" s="14"/>
      <c r="Q63" s="14"/>
      <c r="R63" s="25"/>
      <c r="S63" s="25"/>
      <c r="T63" s="14"/>
      <c r="U63" s="14"/>
      <c r="V63" s="25"/>
      <c r="W63" s="25"/>
      <c r="X63" s="14"/>
      <c r="Y63" s="14"/>
      <c r="Z63" s="25"/>
      <c r="AA63" s="14"/>
      <c r="AB63" s="14"/>
      <c r="AC63" s="25"/>
      <c r="AD63" s="25"/>
      <c r="AE63" s="14"/>
      <c r="AF63" s="14"/>
      <c r="AG63" s="25"/>
      <c r="AH63" s="25"/>
      <c r="AI63" s="14"/>
      <c r="AJ63" s="14"/>
      <c r="AK63" s="25"/>
      <c r="AL63" s="25"/>
      <c r="AM63" s="14"/>
      <c r="AN63" s="14"/>
      <c r="AO63" s="25"/>
      <c r="AP63" s="25"/>
      <c r="AQ63" s="14"/>
      <c r="AR63" s="14"/>
      <c r="AS63" s="25"/>
      <c r="AT63" s="25"/>
      <c r="AU63" s="14"/>
      <c r="AV63" s="14"/>
      <c r="AW63" s="25"/>
      <c r="AX63" s="25"/>
      <c r="AY63" s="14"/>
      <c r="AZ63" s="14"/>
      <c r="BA63" s="25"/>
      <c r="BB63" s="25"/>
      <c r="BC63" s="14"/>
      <c r="BD63" s="14"/>
      <c r="BE63" s="25"/>
      <c r="BF63" s="25"/>
      <c r="BG63" s="14"/>
      <c r="BH63" s="14"/>
      <c r="BI63" s="25"/>
      <c r="BJ63" s="25"/>
      <c r="BK63" s="14"/>
      <c r="BL63" s="7"/>
      <c r="BM63" s="24"/>
      <c r="BN63" s="24"/>
      <c r="BO63" s="7"/>
      <c r="BP63" s="7"/>
      <c r="BQ63" s="24"/>
      <c r="BR63" s="24"/>
      <c r="BS63" s="7"/>
      <c r="BT63" s="7"/>
      <c r="BU63" s="24"/>
      <c r="BV63" s="24"/>
      <c r="BW63" s="7"/>
      <c r="BX63" s="7"/>
      <c r="BY63" s="24"/>
      <c r="BZ63" s="7"/>
      <c r="CA63" s="7"/>
      <c r="CB63" s="24"/>
      <c r="CC63" s="7"/>
      <c r="CD63" s="7"/>
      <c r="CE63" s="24"/>
      <c r="CF63" s="7"/>
      <c r="CG63" s="7"/>
      <c r="CH63" s="24"/>
      <c r="CI63" s="7"/>
      <c r="CJ63" s="7"/>
      <c r="CK63" s="24"/>
      <c r="CL63" s="7"/>
      <c r="CM63" s="7"/>
      <c r="CN63" s="24"/>
      <c r="CO63" s="24"/>
      <c r="CP63" s="14"/>
      <c r="CQ63" s="7"/>
      <c r="CR63" s="7"/>
      <c r="CS63" s="7"/>
      <c r="CT63" s="7"/>
      <c r="CU63" s="7"/>
      <c r="CV63" s="7"/>
      <c r="CW63" s="7"/>
      <c r="CX63" s="31">
        <f>SUM(D63,H63,L63,P63,T63,X63,AA63,AE63,AI63,AM63,AQ63,BC63,BG63,BK63,BO63,BS63,BW63,BZ63,AU63,AY63,CC63,CF63,CI63,CL63,CP63,CS63,CV63)</f>
        <v>0</v>
      </c>
    </row>
    <row r="65" spans="1:102" x14ac:dyDescent="0.2">
      <c r="A65" s="10"/>
      <c r="B65" s="24"/>
      <c r="C65" s="24"/>
      <c r="D65" s="14"/>
      <c r="E65" s="14"/>
      <c r="F65" s="25"/>
      <c r="G65" s="25"/>
      <c r="H65" s="14"/>
      <c r="I65" s="14"/>
      <c r="J65" s="25"/>
      <c r="K65" s="25"/>
      <c r="L65" s="14"/>
      <c r="M65" s="14"/>
      <c r="N65" s="25"/>
      <c r="O65" s="25"/>
      <c r="P65" s="14"/>
      <c r="Q65" s="14"/>
      <c r="R65" s="25"/>
      <c r="S65" s="25"/>
      <c r="T65" s="14"/>
      <c r="U65" s="14"/>
      <c r="V65" s="25"/>
      <c r="W65" s="25"/>
      <c r="X65" s="14"/>
      <c r="Y65" s="14"/>
      <c r="Z65" s="25"/>
      <c r="AA65" s="14"/>
      <c r="AB65" s="14"/>
      <c r="AC65" s="25"/>
      <c r="AD65" s="25"/>
      <c r="AE65" s="14"/>
      <c r="AF65" s="14"/>
      <c r="AG65" s="25"/>
      <c r="AH65" s="25"/>
      <c r="AI65" s="14"/>
      <c r="AJ65" s="14"/>
      <c r="AK65" s="25"/>
      <c r="AL65" s="25"/>
      <c r="AM65" s="14"/>
      <c r="AN65" s="14"/>
      <c r="AO65" s="25"/>
      <c r="AP65" s="25"/>
      <c r="AQ65" s="14"/>
      <c r="AR65" s="14"/>
      <c r="AS65" s="25"/>
      <c r="AT65" s="25"/>
      <c r="AU65" s="14"/>
      <c r="AV65" s="14"/>
      <c r="AW65" s="25"/>
      <c r="AX65" s="25"/>
      <c r="AY65" s="14"/>
      <c r="AZ65" s="14"/>
      <c r="BA65" s="25"/>
      <c r="BB65" s="25"/>
      <c r="BC65" s="14"/>
      <c r="BD65" s="14"/>
      <c r="BE65" s="25"/>
      <c r="BF65" s="25"/>
      <c r="BG65" s="14"/>
      <c r="BH65" s="14"/>
      <c r="BI65" s="25"/>
      <c r="BJ65" s="25"/>
      <c r="BK65" s="14"/>
      <c r="BL65" s="7"/>
      <c r="BM65" s="24"/>
      <c r="BN65" s="24"/>
      <c r="BO65" s="7"/>
      <c r="BP65" s="7"/>
      <c r="BQ65" s="24"/>
      <c r="BR65" s="24"/>
      <c r="BS65" s="7"/>
      <c r="BT65" s="7"/>
      <c r="BU65" s="24"/>
      <c r="BV65" s="24"/>
      <c r="BW65" s="7"/>
      <c r="BX65" s="7"/>
      <c r="BY65" s="24"/>
      <c r="BZ65" s="7"/>
      <c r="CA65" s="7"/>
      <c r="CB65" s="24"/>
      <c r="CC65" s="7"/>
      <c r="CD65" s="7"/>
      <c r="CE65" s="24"/>
      <c r="CF65" s="7"/>
      <c r="CG65" s="7"/>
      <c r="CH65" s="24"/>
      <c r="CI65" s="7"/>
      <c r="CJ65" s="7"/>
      <c r="CK65" s="24"/>
      <c r="CL65" s="7"/>
      <c r="CM65" s="7"/>
      <c r="CN65" s="24"/>
      <c r="CO65" s="24"/>
      <c r="CP65" s="14"/>
      <c r="CQ65" s="7"/>
      <c r="CR65" s="7"/>
      <c r="CS65" s="7"/>
      <c r="CT65" s="7"/>
      <c r="CU65" s="7"/>
      <c r="CV65" s="7"/>
      <c r="CW65" s="7"/>
      <c r="CX65" s="31"/>
    </row>
    <row r="66" spans="1:102" hidden="1" x14ac:dyDescent="0.2">
      <c r="A66" s="10" t="s">
        <v>34</v>
      </c>
      <c r="B66" s="24"/>
      <c r="C66" s="24"/>
      <c r="D66" s="14"/>
      <c r="E66" s="14"/>
      <c r="F66" s="25"/>
      <c r="G66" s="25"/>
      <c r="H66" s="14"/>
      <c r="I66" s="14"/>
      <c r="J66" s="25"/>
      <c r="K66" s="25"/>
      <c r="L66" s="14"/>
      <c r="M66" s="14"/>
      <c r="N66" s="25"/>
      <c r="O66" s="25"/>
      <c r="P66" s="14"/>
      <c r="Q66" s="14"/>
      <c r="R66" s="25"/>
      <c r="S66" s="25"/>
      <c r="T66" s="14"/>
      <c r="U66" s="14"/>
      <c r="V66" s="25"/>
      <c r="W66" s="25"/>
      <c r="X66" s="14"/>
      <c r="Y66" s="14"/>
      <c r="Z66" s="25"/>
      <c r="AA66" s="14"/>
      <c r="AB66" s="14"/>
      <c r="AC66" s="25"/>
      <c r="AD66" s="25"/>
      <c r="AE66" s="14"/>
      <c r="AF66" s="14"/>
      <c r="AG66" s="25"/>
      <c r="AH66" s="25"/>
      <c r="AI66" s="14"/>
      <c r="AJ66" s="14"/>
      <c r="AK66" s="25"/>
      <c r="AL66" s="25"/>
      <c r="AM66" s="14"/>
      <c r="AN66" s="14"/>
      <c r="AO66" s="25"/>
      <c r="AP66" s="25"/>
      <c r="AQ66" s="14"/>
      <c r="AR66" s="14"/>
      <c r="AS66" s="25"/>
      <c r="AT66" s="25"/>
      <c r="AU66" s="14"/>
      <c r="AV66" s="14"/>
      <c r="AW66" s="25"/>
      <c r="AX66" s="25"/>
      <c r="AY66" s="14"/>
      <c r="AZ66" s="14"/>
      <c r="BA66" s="25"/>
      <c r="BB66" s="25"/>
      <c r="BC66" s="14"/>
      <c r="BD66" s="14"/>
      <c r="BE66" s="25"/>
      <c r="BF66" s="25"/>
      <c r="BG66" s="14"/>
      <c r="BH66" s="14"/>
      <c r="BI66" s="25"/>
      <c r="BJ66" s="25"/>
      <c r="BK66" s="14"/>
      <c r="BL66" s="7"/>
      <c r="BM66" s="24"/>
      <c r="BN66" s="24"/>
      <c r="BO66" s="7"/>
      <c r="BP66" s="7"/>
      <c r="BQ66" s="24"/>
      <c r="BR66" s="24"/>
      <c r="BS66" s="7"/>
      <c r="BT66" s="7"/>
      <c r="BU66" s="24"/>
      <c r="BV66" s="24"/>
      <c r="BW66" s="7"/>
      <c r="BX66" s="7"/>
      <c r="BY66" s="24"/>
      <c r="BZ66" s="7"/>
      <c r="CA66" s="7"/>
      <c r="CB66" s="24"/>
      <c r="CC66" s="7"/>
      <c r="CD66" s="7"/>
      <c r="CE66" s="24"/>
      <c r="CF66" s="7"/>
      <c r="CG66" s="7"/>
      <c r="CH66" s="24"/>
      <c r="CI66" s="7"/>
      <c r="CJ66" s="7"/>
      <c r="CK66" s="24"/>
      <c r="CL66" s="7"/>
      <c r="CM66" s="7"/>
      <c r="CN66" s="24"/>
      <c r="CO66" s="24"/>
      <c r="CP66" s="14"/>
      <c r="CQ66" s="7"/>
      <c r="CR66" s="7"/>
      <c r="CS66" s="7"/>
      <c r="CT66" s="7"/>
      <c r="CU66" s="7"/>
      <c r="CV66" s="7"/>
      <c r="CW66" s="7"/>
      <c r="CX66" s="31">
        <f>SUM(D66,H66,L66,P66,T66,X66,AA66,AE66,AI66,AM66,AQ66,BC66,BG66,BK66,BO66,BS66,BW66,BZ66,AU66,AY66,CC66,CF66,CI66,CL66,CP66,CS66,CV66)</f>
        <v>0</v>
      </c>
    </row>
    <row r="70" spans="1:102" x14ac:dyDescent="0.2">
      <c r="B70" s="26"/>
      <c r="C70" s="26"/>
      <c r="D70" s="14"/>
      <c r="E70" s="14"/>
      <c r="F70" s="74"/>
      <c r="G70" s="74"/>
      <c r="H70" s="14"/>
      <c r="I70" s="14"/>
      <c r="J70" s="74"/>
      <c r="K70" s="74"/>
      <c r="L70" s="14"/>
      <c r="M70" s="14"/>
      <c r="N70" s="74"/>
      <c r="O70" s="74"/>
      <c r="P70" s="14"/>
      <c r="Q70" s="14"/>
      <c r="R70" s="74"/>
      <c r="S70" s="74"/>
      <c r="T70" s="14"/>
      <c r="U70" s="14"/>
      <c r="V70" s="74"/>
      <c r="W70" s="74"/>
      <c r="X70" s="14"/>
      <c r="Y70" s="14"/>
      <c r="Z70" s="74"/>
      <c r="AA70" s="14"/>
      <c r="AB70" s="14"/>
      <c r="AC70" s="74"/>
      <c r="AD70" s="74"/>
      <c r="AE70" s="14"/>
      <c r="AF70" s="14"/>
      <c r="AG70" s="74"/>
      <c r="AH70" s="74"/>
      <c r="AI70" s="14"/>
      <c r="AJ70" s="14"/>
      <c r="AK70" s="74"/>
      <c r="AL70" s="74"/>
      <c r="AM70" s="14"/>
      <c r="AN70" s="14"/>
      <c r="AO70" s="74"/>
      <c r="AP70" s="74"/>
      <c r="AQ70" s="14"/>
      <c r="AR70" s="14"/>
      <c r="AS70" s="74"/>
      <c r="AT70" s="74"/>
      <c r="AU70" s="14"/>
      <c r="AV70" s="14"/>
      <c r="AW70" s="74"/>
      <c r="AX70" s="74"/>
      <c r="AY70" s="14"/>
      <c r="AZ70" s="14"/>
      <c r="BA70" s="74"/>
      <c r="BB70" s="74"/>
      <c r="BC70" s="14"/>
      <c r="BD70" s="14"/>
      <c r="BE70" s="74"/>
      <c r="BF70" s="74"/>
      <c r="BG70" s="14"/>
      <c r="BH70" s="14"/>
      <c r="BI70" s="74"/>
      <c r="BJ70" s="74"/>
      <c r="BK70" s="14"/>
      <c r="BL70" s="7"/>
      <c r="BM70" s="26"/>
      <c r="BN70" s="26"/>
      <c r="BO70" s="7"/>
      <c r="BP70" s="7"/>
      <c r="BQ70" s="26"/>
      <c r="BR70" s="26"/>
      <c r="BS70" s="7"/>
      <c r="BT70" s="7"/>
      <c r="BU70" s="26"/>
      <c r="BV70" s="26"/>
      <c r="BW70" s="7"/>
      <c r="BX70" s="7"/>
      <c r="BY70" s="26"/>
      <c r="BZ70" s="7"/>
      <c r="CA70" s="7"/>
      <c r="CB70" s="26"/>
      <c r="CC70" s="7"/>
      <c r="CD70" s="7"/>
      <c r="CE70" s="26"/>
      <c r="CF70" s="7"/>
      <c r="CG70" s="7"/>
      <c r="CH70" s="26"/>
      <c r="CI70" s="7"/>
      <c r="CJ70" s="7"/>
      <c r="CK70" s="26"/>
      <c r="CL70" s="7"/>
      <c r="CM70" s="7"/>
      <c r="CN70" s="26"/>
      <c r="CO70" s="26"/>
      <c r="CP70" s="14"/>
      <c r="CQ70" s="7"/>
      <c r="CR70" s="7"/>
      <c r="CS70" s="7"/>
      <c r="CT70" s="7"/>
      <c r="CU70" s="7"/>
      <c r="CV70" s="7"/>
      <c r="CW70" s="7"/>
      <c r="CX70" s="31">
        <f>SUM(D70,H70,L70,P70,T70,X70,AA70,AE70,AI70,AM70,AQ70,BC70,BG70,BK70,BO70,BS70,BW70,BZ70,AU70,AY70,CC70,CF70,CI70,CL70,CP70,CV70)</f>
        <v>0</v>
      </c>
    </row>
    <row r="71" spans="1:102" x14ac:dyDescent="0.2">
      <c r="B71" s="26"/>
      <c r="C71" s="26"/>
      <c r="D71" s="71">
        <f>SUM(D11:D70)</f>
        <v>1050</v>
      </c>
      <c r="E71" s="14"/>
      <c r="F71" s="74"/>
      <c r="G71" s="74"/>
      <c r="H71" s="82">
        <f>SUM(H11:H70)</f>
        <v>3935</v>
      </c>
      <c r="I71" s="14"/>
      <c r="J71" s="74"/>
      <c r="K71" s="74"/>
      <c r="L71" s="82">
        <f>SUM(L11:L70)</f>
        <v>606.46</v>
      </c>
      <c r="M71" s="14"/>
      <c r="N71" s="74"/>
      <c r="O71" s="74"/>
      <c r="P71" s="82">
        <f>SUM(P11:P70)</f>
        <v>1600</v>
      </c>
      <c r="Q71" s="14"/>
      <c r="R71" s="74"/>
      <c r="S71" s="74"/>
      <c r="T71" s="82">
        <f>SUM(T11:T70)</f>
        <v>500</v>
      </c>
      <c r="U71" s="14"/>
      <c r="V71" s="74"/>
      <c r="W71" s="74"/>
      <c r="X71" s="82">
        <f>SUM(X11:X70)</f>
        <v>1875</v>
      </c>
      <c r="Y71" s="14"/>
      <c r="Z71" s="74"/>
      <c r="AA71" s="71">
        <f>SUM(AA11:AA70)</f>
        <v>0</v>
      </c>
      <c r="AB71" s="14"/>
      <c r="AC71" s="74"/>
      <c r="AD71" s="74"/>
      <c r="AE71" s="82">
        <f>SUM(AE11:AE70)</f>
        <v>597.31999999999994</v>
      </c>
      <c r="AF71" s="14"/>
      <c r="AG71" s="74"/>
      <c r="AH71" s="74"/>
      <c r="AI71" s="82">
        <f>SUM(AI11:AI70)</f>
        <v>500</v>
      </c>
      <c r="AJ71" s="14"/>
      <c r="AK71" s="74"/>
      <c r="AL71" s="74"/>
      <c r="AM71" s="82">
        <f>SUM(AM11:AM70)</f>
        <v>930</v>
      </c>
      <c r="AN71" s="14"/>
      <c r="AO71" s="74"/>
      <c r="AP71" s="74"/>
      <c r="AQ71" s="71">
        <f>SUM(AQ11:AQ70)</f>
        <v>0</v>
      </c>
      <c r="AR71" s="14"/>
      <c r="AS71" s="74"/>
      <c r="AT71" s="74"/>
      <c r="AU71" s="82">
        <f>SUM(AU11:AU70)</f>
        <v>9880</v>
      </c>
      <c r="AV71" s="14"/>
      <c r="AW71" s="74"/>
      <c r="AX71" s="74"/>
      <c r="AY71" s="71">
        <f>SUM(AY11:AY70)</f>
        <v>10009.200000000001</v>
      </c>
      <c r="AZ71" s="14"/>
      <c r="BA71" s="74"/>
      <c r="BB71" s="74"/>
      <c r="BC71" s="71">
        <f>SUM(BC11:BC70)</f>
        <v>674.81</v>
      </c>
      <c r="BD71" s="79"/>
      <c r="BE71" s="74"/>
      <c r="BF71" s="74"/>
      <c r="BG71" s="71">
        <f>SUM(BG11:BG70)</f>
        <v>0</v>
      </c>
      <c r="BH71" s="79"/>
      <c r="BI71" s="74"/>
      <c r="BJ71" s="74"/>
      <c r="BK71" s="71">
        <f>SUM(BK11:BK70)</f>
        <v>0</v>
      </c>
      <c r="BL71" s="33"/>
      <c r="BM71" s="26"/>
      <c r="BN71" s="26"/>
      <c r="BO71" s="21">
        <f>SUM(BO11:BO70)</f>
        <v>295.08</v>
      </c>
      <c r="BP71" s="33"/>
      <c r="BQ71" s="26"/>
      <c r="BR71" s="26"/>
      <c r="BS71" s="21">
        <f>SUM(BS11:BS70)</f>
        <v>292.81</v>
      </c>
      <c r="BT71" s="33"/>
      <c r="BU71" s="26"/>
      <c r="BV71" s="26"/>
      <c r="BW71" s="21">
        <f>SUM(BW11:BW70)</f>
        <v>576.82000000000005</v>
      </c>
      <c r="BX71" s="33"/>
      <c r="BY71" s="26"/>
      <c r="BZ71" s="21">
        <f>SUM(BZ11:BZ70)</f>
        <v>36</v>
      </c>
      <c r="CA71" s="33"/>
      <c r="CB71" s="26"/>
      <c r="CC71" s="21">
        <f>SUM(CC11:CC70)</f>
        <v>0</v>
      </c>
      <c r="CD71" s="33"/>
      <c r="CE71" s="26"/>
      <c r="CF71" s="21">
        <f>SUM(CF11:CF70)</f>
        <v>189.33</v>
      </c>
      <c r="CG71" s="33"/>
      <c r="CH71" s="26"/>
      <c r="CI71" s="21">
        <f>SUM(CI11:CI70)</f>
        <v>450</v>
      </c>
      <c r="CJ71" s="33"/>
      <c r="CK71" s="26"/>
      <c r="CL71" s="21">
        <f>SUM(CL11:CL70)</f>
        <v>226.92</v>
      </c>
      <c r="CM71" s="7"/>
      <c r="CN71" s="26"/>
      <c r="CO71" s="26"/>
      <c r="CP71" s="82">
        <f>SUM(CP11:CP70)</f>
        <v>1200</v>
      </c>
      <c r="CQ71" s="7"/>
      <c r="CR71" s="33"/>
      <c r="CS71" s="21">
        <f>SUM(CS11:CS70)</f>
        <v>0</v>
      </c>
      <c r="CT71" s="7"/>
      <c r="CU71" s="33"/>
      <c r="CV71" s="21">
        <f>SUM(CV11:CV70)</f>
        <v>120</v>
      </c>
      <c r="CW71" s="7"/>
      <c r="CX71" s="32">
        <f>SUM(CX11:CX70)</f>
        <v>35544.75</v>
      </c>
    </row>
    <row r="72" spans="1:102" x14ac:dyDescent="0.2">
      <c r="B72" s="26"/>
      <c r="C72" s="26"/>
      <c r="D72" s="14"/>
      <c r="E72" s="14"/>
      <c r="F72" s="74"/>
      <c r="G72" s="74"/>
      <c r="H72" s="14"/>
      <c r="I72" s="14"/>
      <c r="J72" s="74"/>
      <c r="K72" s="74"/>
      <c r="L72" s="14"/>
      <c r="M72" s="14"/>
      <c r="N72" s="74"/>
      <c r="O72" s="74"/>
      <c r="P72" s="14"/>
      <c r="Q72" s="14"/>
      <c r="R72" s="74"/>
      <c r="S72" s="74"/>
      <c r="T72" s="14"/>
      <c r="U72" s="14"/>
      <c r="V72" s="74"/>
      <c r="W72" s="74"/>
      <c r="X72" s="14"/>
      <c r="Y72" s="14"/>
      <c r="Z72" s="74"/>
      <c r="AA72" s="14"/>
      <c r="AB72" s="14"/>
      <c r="AC72" s="74"/>
      <c r="AD72" s="74"/>
      <c r="AE72" s="14"/>
      <c r="AF72" s="14"/>
      <c r="AG72" s="74"/>
      <c r="AH72" s="74"/>
      <c r="AI72" s="14"/>
      <c r="AJ72" s="14"/>
      <c r="AK72" s="74"/>
      <c r="AL72" s="74"/>
      <c r="AM72" s="14"/>
      <c r="AN72" s="14"/>
      <c r="AO72" s="74"/>
      <c r="AP72" s="74"/>
      <c r="AQ72" s="14"/>
      <c r="AR72" s="14"/>
      <c r="AS72" s="74"/>
      <c r="AT72" s="74"/>
      <c r="AU72" s="14"/>
      <c r="AV72" s="14"/>
      <c r="AW72" s="74"/>
      <c r="AX72" s="74"/>
      <c r="AY72" s="14"/>
      <c r="AZ72" s="14"/>
      <c r="BA72" s="74"/>
      <c r="BB72" s="74"/>
      <c r="BC72" s="14"/>
      <c r="BD72" s="14"/>
      <c r="BE72" s="74"/>
      <c r="BF72" s="74"/>
      <c r="BG72" s="14"/>
      <c r="BH72" s="14"/>
      <c r="BI72" s="74"/>
      <c r="BJ72" s="74"/>
      <c r="BK72" s="14"/>
      <c r="BL72" s="7"/>
      <c r="BM72" s="26"/>
      <c r="BN72" s="26"/>
      <c r="BO72" s="7"/>
      <c r="BP72" s="7"/>
      <c r="BQ72" s="26"/>
      <c r="BR72" s="26"/>
      <c r="BS72" s="7"/>
      <c r="BT72" s="7"/>
      <c r="BU72" s="26"/>
      <c r="BV72" s="26"/>
      <c r="BW72" s="7"/>
      <c r="BX72" s="7"/>
      <c r="BY72" s="26"/>
      <c r="BZ72" s="7"/>
      <c r="CA72" s="7"/>
      <c r="CB72" s="26"/>
      <c r="CC72" s="7"/>
      <c r="CD72" s="7"/>
      <c r="CE72" s="26"/>
      <c r="CF72" s="7"/>
      <c r="CG72" s="7"/>
      <c r="CH72" s="26"/>
      <c r="CI72" s="7"/>
      <c r="CJ72" s="7"/>
      <c r="CK72" s="26"/>
      <c r="CL72" s="7"/>
      <c r="CM72" s="7"/>
      <c r="CN72" s="26"/>
      <c r="CO72" s="26"/>
      <c r="CP72" s="14"/>
      <c r="CQ72" s="7"/>
      <c r="CR72" s="7"/>
      <c r="CS72" s="7"/>
      <c r="CT72" s="7"/>
      <c r="CU72" s="7"/>
      <c r="CV72" s="7"/>
      <c r="CW72" s="7"/>
    </row>
    <row r="73" spans="1:102" x14ac:dyDescent="0.2">
      <c r="A73" s="8" t="s">
        <v>25</v>
      </c>
      <c r="B73" s="27"/>
      <c r="C73" s="27"/>
      <c r="D73" s="14"/>
      <c r="E73" s="14"/>
      <c r="F73" s="75"/>
      <c r="G73" s="75"/>
      <c r="H73" s="14"/>
      <c r="I73" s="14"/>
      <c r="J73" s="75"/>
      <c r="K73" s="75"/>
      <c r="L73" s="14"/>
      <c r="M73" s="14"/>
      <c r="N73" s="75"/>
      <c r="O73" s="75"/>
      <c r="P73" s="14"/>
      <c r="Q73" s="14"/>
      <c r="R73" s="75"/>
      <c r="S73" s="75"/>
      <c r="T73" s="14"/>
      <c r="U73" s="14"/>
      <c r="V73" s="75"/>
      <c r="W73" s="75"/>
      <c r="X73" s="14"/>
      <c r="Y73" s="14"/>
      <c r="Z73" s="75"/>
      <c r="AA73" s="14"/>
      <c r="AB73" s="14"/>
      <c r="AC73" s="75"/>
      <c r="AD73" s="75"/>
      <c r="AE73" s="14"/>
      <c r="AF73" s="14"/>
      <c r="AG73" s="75"/>
      <c r="AH73" s="75"/>
      <c r="AI73" s="14"/>
      <c r="AJ73" s="14"/>
      <c r="AK73" s="75"/>
      <c r="AL73" s="75"/>
      <c r="AM73" s="14"/>
      <c r="AN73" s="14"/>
      <c r="AO73" s="75"/>
      <c r="AP73" s="75"/>
      <c r="AQ73" s="14"/>
      <c r="AR73" s="14"/>
      <c r="AS73" s="75"/>
      <c r="AT73" s="75"/>
      <c r="AU73" s="14"/>
      <c r="AV73" s="14"/>
      <c r="AW73" s="75"/>
      <c r="AX73" s="75"/>
      <c r="AY73" s="14"/>
      <c r="AZ73" s="14"/>
      <c r="BA73" s="75"/>
      <c r="BB73" s="75"/>
      <c r="BC73" s="14"/>
      <c r="BD73" s="14"/>
      <c r="BE73" s="75"/>
      <c r="BF73" s="75"/>
      <c r="BG73" s="14"/>
      <c r="BH73" s="14"/>
      <c r="BI73" s="75"/>
      <c r="BJ73" s="75"/>
      <c r="BK73" s="14"/>
      <c r="BL73" s="7"/>
      <c r="BM73" s="27"/>
      <c r="BN73" s="27"/>
      <c r="BO73" s="7"/>
      <c r="BP73" s="7"/>
      <c r="BQ73" s="27"/>
      <c r="BR73" s="27"/>
      <c r="BS73" s="7"/>
      <c r="BT73" s="7"/>
      <c r="BU73" s="27"/>
      <c r="BV73" s="27"/>
      <c r="BW73" s="7"/>
      <c r="BX73" s="7"/>
      <c r="BY73" s="27"/>
      <c r="BZ73" s="7"/>
      <c r="CA73" s="7"/>
      <c r="CB73" s="27"/>
      <c r="CC73" s="7"/>
      <c r="CD73" s="7"/>
      <c r="CE73" s="27"/>
      <c r="CF73" s="7"/>
      <c r="CG73" s="7"/>
      <c r="CH73" s="27"/>
      <c r="CI73" s="7"/>
      <c r="CJ73" s="7"/>
      <c r="CK73" s="27"/>
      <c r="CL73" s="7"/>
      <c r="CM73" s="7"/>
      <c r="CN73" s="27"/>
      <c r="CO73" s="27"/>
      <c r="CP73" s="14"/>
      <c r="CQ73" s="7"/>
      <c r="CR73" s="7"/>
      <c r="CS73" s="7"/>
      <c r="CT73" s="7"/>
      <c r="CU73" s="7"/>
      <c r="CV73" s="7"/>
      <c r="CW73" s="7"/>
    </row>
    <row r="74" spans="1:102" ht="18" customHeight="1" x14ac:dyDescent="0.2">
      <c r="A74" s="1"/>
      <c r="B74" s="348" t="s">
        <v>130</v>
      </c>
      <c r="C74" s="354"/>
      <c r="D74" s="349"/>
      <c r="F74" s="13"/>
      <c r="G74" s="357" t="s">
        <v>154</v>
      </c>
      <c r="H74" s="358"/>
      <c r="J74" s="357" t="s">
        <v>157</v>
      </c>
      <c r="K74" s="358"/>
      <c r="L74" s="359"/>
      <c r="N74" s="357" t="s">
        <v>181</v>
      </c>
      <c r="O74" s="358"/>
      <c r="P74" s="359"/>
      <c r="R74" s="357" t="s">
        <v>168</v>
      </c>
      <c r="S74" s="358"/>
      <c r="T74" s="359"/>
      <c r="V74" s="357" t="s">
        <v>176</v>
      </c>
      <c r="W74" s="358"/>
      <c r="X74" s="359"/>
      <c r="Z74" s="357"/>
      <c r="AA74" s="359"/>
      <c r="AC74" s="357"/>
      <c r="AD74" s="358"/>
      <c r="AE74" s="359"/>
      <c r="AG74" s="357"/>
      <c r="AH74" s="358"/>
      <c r="AI74" s="359"/>
      <c r="AK74" s="357"/>
      <c r="AL74" s="358"/>
      <c r="AM74" s="359"/>
      <c r="AO74" s="357"/>
      <c r="AP74" s="358"/>
      <c r="AQ74" s="359"/>
      <c r="AS74" s="357"/>
      <c r="AT74" s="358"/>
      <c r="AU74" s="359"/>
      <c r="AW74" s="357"/>
      <c r="AX74" s="358"/>
      <c r="AY74" s="359"/>
      <c r="BA74" s="357"/>
      <c r="BB74" s="358"/>
      <c r="BC74" s="359"/>
      <c r="BD74" s="76"/>
      <c r="BE74" s="357"/>
      <c r="BF74" s="358"/>
      <c r="BG74" s="359"/>
      <c r="BH74" s="76"/>
      <c r="BI74" s="357"/>
      <c r="BJ74" s="358"/>
      <c r="BK74" s="359"/>
      <c r="BL74" s="29"/>
      <c r="BM74" s="348"/>
      <c r="BN74" s="354"/>
      <c r="BO74" s="349"/>
      <c r="BP74" s="29"/>
      <c r="BQ74" s="348"/>
      <c r="BR74" s="354"/>
      <c r="BS74" s="349"/>
      <c r="BT74" s="29"/>
      <c r="BU74" s="348"/>
      <c r="BV74" s="354"/>
      <c r="BW74" s="349"/>
      <c r="BX74" s="29"/>
      <c r="BY74" s="348"/>
      <c r="BZ74" s="349"/>
      <c r="CA74" s="29"/>
      <c r="CB74" s="348"/>
      <c r="CC74" s="349"/>
      <c r="CD74" s="29"/>
      <c r="CE74" s="348"/>
      <c r="CF74" s="349"/>
      <c r="CG74" s="29"/>
      <c r="CH74" s="348"/>
      <c r="CI74" s="349"/>
      <c r="CJ74" s="29"/>
      <c r="CK74" s="348"/>
      <c r="CL74" s="349"/>
      <c r="CN74" s="348"/>
      <c r="CO74" s="354"/>
      <c r="CP74" s="349"/>
      <c r="CR74" s="29"/>
      <c r="CS74" s="29"/>
      <c r="CU74" s="29"/>
      <c r="CV74" s="29"/>
    </row>
    <row r="75" spans="1:102" ht="18" customHeight="1" x14ac:dyDescent="0.2">
      <c r="A75" s="1"/>
      <c r="B75" s="350"/>
      <c r="C75" s="355"/>
      <c r="D75" s="351"/>
      <c r="F75" s="13"/>
      <c r="G75" s="360"/>
      <c r="H75" s="361"/>
      <c r="J75" s="360"/>
      <c r="K75" s="361"/>
      <c r="L75" s="362"/>
      <c r="N75" s="360"/>
      <c r="O75" s="361"/>
      <c r="P75" s="362"/>
      <c r="R75" s="360"/>
      <c r="S75" s="361"/>
      <c r="T75" s="362"/>
      <c r="V75" s="360"/>
      <c r="W75" s="361"/>
      <c r="X75" s="362"/>
      <c r="Z75" s="360"/>
      <c r="AA75" s="362"/>
      <c r="AC75" s="360"/>
      <c r="AD75" s="361"/>
      <c r="AE75" s="362"/>
      <c r="AG75" s="360"/>
      <c r="AH75" s="361"/>
      <c r="AI75" s="362"/>
      <c r="AK75" s="360"/>
      <c r="AL75" s="361"/>
      <c r="AM75" s="362"/>
      <c r="AO75" s="360"/>
      <c r="AP75" s="361"/>
      <c r="AQ75" s="362"/>
      <c r="AS75" s="360"/>
      <c r="AT75" s="361"/>
      <c r="AU75" s="362"/>
      <c r="AW75" s="360"/>
      <c r="AX75" s="361"/>
      <c r="AY75" s="362"/>
      <c r="BA75" s="360"/>
      <c r="BB75" s="361"/>
      <c r="BC75" s="362"/>
      <c r="BD75" s="76"/>
      <c r="BE75" s="360"/>
      <c r="BF75" s="361"/>
      <c r="BG75" s="362"/>
      <c r="BH75" s="76"/>
      <c r="BI75" s="360"/>
      <c r="BJ75" s="361"/>
      <c r="BK75" s="362"/>
      <c r="BL75" s="29"/>
      <c r="BM75" s="350"/>
      <c r="BN75" s="355"/>
      <c r="BO75" s="351"/>
      <c r="BP75" s="29"/>
      <c r="BQ75" s="350"/>
      <c r="BR75" s="355"/>
      <c r="BS75" s="351"/>
      <c r="BT75" s="29"/>
      <c r="BU75" s="350"/>
      <c r="BV75" s="355"/>
      <c r="BW75" s="351"/>
      <c r="BX75" s="29"/>
      <c r="BY75" s="350"/>
      <c r="BZ75" s="351"/>
      <c r="CA75" s="29"/>
      <c r="CB75" s="350"/>
      <c r="CC75" s="351"/>
      <c r="CD75" s="29"/>
      <c r="CE75" s="350"/>
      <c r="CF75" s="351"/>
      <c r="CG75" s="29"/>
      <c r="CH75" s="350"/>
      <c r="CI75" s="351"/>
      <c r="CJ75" s="29"/>
      <c r="CK75" s="350"/>
      <c r="CL75" s="351"/>
      <c r="CN75" s="350"/>
      <c r="CO75" s="355"/>
      <c r="CP75" s="351"/>
      <c r="CR75" s="29"/>
      <c r="CS75" s="29"/>
      <c r="CU75" s="29"/>
      <c r="CV75" s="29"/>
      <c r="CX75" s="18"/>
    </row>
    <row r="76" spans="1:102" ht="18" customHeight="1" x14ac:dyDescent="0.2">
      <c r="A76" s="1"/>
      <c r="B76" s="352"/>
      <c r="C76" s="356"/>
      <c r="D76" s="353"/>
      <c r="F76" s="13"/>
      <c r="G76" s="363"/>
      <c r="H76" s="364"/>
      <c r="J76" s="363"/>
      <c r="K76" s="364"/>
      <c r="L76" s="365"/>
      <c r="N76" s="363"/>
      <c r="O76" s="364"/>
      <c r="P76" s="365"/>
      <c r="R76" s="363"/>
      <c r="S76" s="364"/>
      <c r="T76" s="365"/>
      <c r="V76" s="363"/>
      <c r="W76" s="364"/>
      <c r="X76" s="365"/>
      <c r="Z76" s="363"/>
      <c r="AA76" s="365"/>
      <c r="AC76" s="363"/>
      <c r="AD76" s="364"/>
      <c r="AE76" s="365"/>
      <c r="AG76" s="363"/>
      <c r="AH76" s="364"/>
      <c r="AI76" s="365"/>
      <c r="AK76" s="363"/>
      <c r="AL76" s="364"/>
      <c r="AM76" s="365"/>
      <c r="AO76" s="363"/>
      <c r="AP76" s="364"/>
      <c r="AQ76" s="365"/>
      <c r="AS76" s="363"/>
      <c r="AT76" s="364"/>
      <c r="AU76" s="365"/>
      <c r="AW76" s="363"/>
      <c r="AX76" s="364"/>
      <c r="AY76" s="365"/>
      <c r="BA76" s="363"/>
      <c r="BB76" s="364"/>
      <c r="BC76" s="365"/>
      <c r="BD76" s="76"/>
      <c r="BE76" s="363"/>
      <c r="BF76" s="364"/>
      <c r="BG76" s="365"/>
      <c r="BH76" s="76"/>
      <c r="BI76" s="363"/>
      <c r="BJ76" s="364"/>
      <c r="BK76" s="365"/>
      <c r="BL76" s="29"/>
      <c r="BM76" s="352"/>
      <c r="BN76" s="356"/>
      <c r="BO76" s="353"/>
      <c r="BP76" s="29"/>
      <c r="BQ76" s="352"/>
      <c r="BR76" s="356"/>
      <c r="BS76" s="353"/>
      <c r="BT76" s="29"/>
      <c r="BU76" s="352"/>
      <c r="BV76" s="356"/>
      <c r="BW76" s="353"/>
      <c r="BX76" s="29"/>
      <c r="BY76" s="352"/>
      <c r="BZ76" s="353"/>
      <c r="CA76" s="29"/>
      <c r="CB76" s="352"/>
      <c r="CC76" s="353"/>
      <c r="CD76" s="29"/>
      <c r="CE76" s="352"/>
      <c r="CF76" s="353"/>
      <c r="CG76" s="29"/>
      <c r="CH76" s="352"/>
      <c r="CI76" s="353"/>
      <c r="CJ76" s="29"/>
      <c r="CK76" s="352"/>
      <c r="CL76" s="353"/>
      <c r="CN76" s="352"/>
      <c r="CO76" s="356"/>
      <c r="CP76" s="353"/>
      <c r="CR76" s="29"/>
      <c r="CS76" s="29"/>
      <c r="CU76" s="29"/>
      <c r="CV76" s="29"/>
      <c r="CX76" s="18"/>
    </row>
    <row r="77" spans="1:102" x14ac:dyDescent="0.2">
      <c r="B77" s="26"/>
      <c r="C77" s="26"/>
      <c r="D77" s="14"/>
      <c r="E77" s="14"/>
      <c r="F77" s="74"/>
      <c r="G77" s="74"/>
      <c r="H77" s="14"/>
      <c r="I77" s="14"/>
      <c r="J77" s="74"/>
      <c r="K77" s="74"/>
      <c r="L77" s="14"/>
      <c r="M77" s="14"/>
      <c r="N77" s="74"/>
      <c r="O77" s="74"/>
      <c r="P77" s="14"/>
      <c r="Q77" s="14"/>
      <c r="R77" s="74"/>
      <c r="S77" s="74"/>
      <c r="T77" s="14"/>
      <c r="U77" s="14"/>
      <c r="V77" s="74"/>
      <c r="W77" s="74"/>
      <c r="X77" s="14"/>
      <c r="Y77" s="14"/>
      <c r="Z77" s="74"/>
      <c r="AA77" s="14"/>
      <c r="AB77" s="14"/>
      <c r="AC77" s="74"/>
      <c r="AD77" s="74"/>
      <c r="AE77" s="14"/>
      <c r="AF77" s="14"/>
      <c r="AG77" s="74"/>
      <c r="AH77" s="74"/>
      <c r="AI77" s="14"/>
      <c r="AJ77" s="14"/>
      <c r="AK77" s="74"/>
      <c r="AL77" s="74"/>
      <c r="AM77" s="14"/>
      <c r="AN77" s="14"/>
      <c r="AO77" s="74"/>
      <c r="AP77" s="74"/>
      <c r="AQ77" s="14"/>
      <c r="AR77" s="14"/>
      <c r="AS77" s="74"/>
      <c r="AT77" s="74"/>
      <c r="AU77" s="14"/>
      <c r="AV77" s="14"/>
      <c r="AW77" s="74"/>
      <c r="AX77" s="74"/>
      <c r="AY77" s="14"/>
      <c r="AZ77" s="14"/>
      <c r="BA77" s="74"/>
      <c r="BB77" s="74"/>
      <c r="BC77" s="14"/>
      <c r="BD77" s="14"/>
      <c r="BE77" s="74"/>
      <c r="BF77" s="74"/>
      <c r="BG77" s="14"/>
      <c r="BH77" s="14"/>
      <c r="BI77" s="74"/>
      <c r="BJ77" s="74"/>
      <c r="BK77" s="14"/>
      <c r="BL77" s="7"/>
      <c r="BM77" s="26"/>
      <c r="BN77" s="26"/>
      <c r="BO77" s="7"/>
      <c r="BP77" s="7"/>
      <c r="BQ77" s="26"/>
      <c r="BR77" s="26"/>
      <c r="BS77" s="7"/>
      <c r="BT77" s="7"/>
      <c r="BU77" s="26"/>
      <c r="BV77" s="26"/>
      <c r="BW77" s="7"/>
      <c r="BX77" s="7"/>
      <c r="BY77" s="26"/>
      <c r="BZ77" s="7"/>
      <c r="CA77" s="7"/>
      <c r="CB77" s="26"/>
      <c r="CC77" s="7"/>
      <c r="CD77" s="7"/>
      <c r="CE77" s="26"/>
      <c r="CF77" s="7"/>
      <c r="CG77" s="7"/>
      <c r="CH77" s="26"/>
      <c r="CI77" s="7"/>
      <c r="CJ77" s="7"/>
      <c r="CK77" s="26"/>
      <c r="CL77" s="7"/>
      <c r="CM77" s="7"/>
      <c r="CN77" s="26"/>
      <c r="CO77" s="26"/>
      <c r="CP77" s="14"/>
      <c r="CQ77" s="7"/>
      <c r="CR77" s="7"/>
      <c r="CS77" s="7"/>
      <c r="CT77" s="7"/>
      <c r="CU77" s="7"/>
      <c r="CV77" s="7"/>
      <c r="CW77" s="7"/>
    </row>
    <row r="78" spans="1:102" x14ac:dyDescent="0.2">
      <c r="B78" s="26"/>
      <c r="C78" s="26"/>
      <c r="D78" s="14"/>
      <c r="E78" s="14"/>
      <c r="F78" s="74"/>
      <c r="G78" s="74"/>
      <c r="H78" s="14"/>
      <c r="I78" s="14"/>
      <c r="J78" s="74"/>
      <c r="K78" s="74"/>
      <c r="L78" s="14"/>
      <c r="M78" s="14"/>
      <c r="N78" s="74"/>
      <c r="O78" s="74"/>
      <c r="P78" s="14"/>
      <c r="Q78" s="14"/>
      <c r="R78" s="74"/>
      <c r="S78" s="74"/>
      <c r="T78" s="14"/>
      <c r="U78" s="14"/>
      <c r="V78" s="74"/>
      <c r="W78" s="74"/>
      <c r="X78" s="14"/>
      <c r="Y78" s="14"/>
      <c r="Z78" s="74"/>
      <c r="AA78" s="14"/>
      <c r="AB78" s="14"/>
      <c r="AC78" s="74"/>
      <c r="AD78" s="74"/>
      <c r="AE78" s="14"/>
      <c r="AF78" s="14"/>
      <c r="AG78" s="74"/>
      <c r="AH78" s="74"/>
      <c r="AI78" s="14"/>
      <c r="AJ78" s="14"/>
      <c r="AK78" s="74"/>
      <c r="AL78" s="74"/>
      <c r="AM78" s="14"/>
      <c r="AN78" s="14"/>
      <c r="AO78" s="74"/>
      <c r="AP78" s="74"/>
      <c r="AQ78" s="14"/>
      <c r="AR78" s="14"/>
      <c r="AS78" s="74"/>
      <c r="AT78" s="74"/>
      <c r="AU78" s="14"/>
      <c r="AV78" s="14"/>
      <c r="AW78" s="74"/>
      <c r="AX78" s="74"/>
      <c r="AY78" s="14"/>
      <c r="AZ78" s="14"/>
      <c r="BA78" s="74"/>
      <c r="BB78" s="74"/>
      <c r="BC78" s="14"/>
      <c r="BD78" s="14"/>
      <c r="BE78" s="74"/>
      <c r="BF78" s="74"/>
      <c r="BG78" s="14"/>
      <c r="BH78" s="14"/>
      <c r="BI78" s="74"/>
      <c r="BJ78" s="74"/>
      <c r="BK78" s="14"/>
      <c r="BL78" s="7"/>
      <c r="BM78" s="26"/>
      <c r="BN78" s="26"/>
      <c r="BO78" s="7"/>
      <c r="BP78" s="7"/>
      <c r="BQ78" s="26"/>
      <c r="BR78" s="26"/>
      <c r="BS78" s="7"/>
      <c r="BT78" s="7"/>
      <c r="BU78" s="26"/>
      <c r="BV78" s="26"/>
      <c r="BW78" s="7"/>
      <c r="BX78" s="7"/>
      <c r="BY78" s="26"/>
      <c r="BZ78" s="7"/>
      <c r="CA78" s="7"/>
      <c r="CB78" s="26"/>
      <c r="CC78" s="7"/>
      <c r="CD78" s="7"/>
      <c r="CE78" s="26"/>
      <c r="CF78" s="7"/>
      <c r="CG78" s="7"/>
      <c r="CH78" s="26"/>
      <c r="CI78" s="7"/>
      <c r="CJ78" s="7"/>
      <c r="CK78" s="26"/>
      <c r="CL78" s="7"/>
      <c r="CM78" s="7"/>
      <c r="CN78" s="26"/>
      <c r="CO78" s="26"/>
      <c r="CP78" s="14"/>
      <c r="CQ78" s="7"/>
      <c r="CR78" s="7"/>
      <c r="CS78" s="7"/>
      <c r="CT78" s="7"/>
      <c r="CU78" s="7"/>
      <c r="CV78" s="7"/>
      <c r="CW78" s="7"/>
    </row>
    <row r="79" spans="1:102" x14ac:dyDescent="0.2">
      <c r="A79" s="10" t="s">
        <v>1</v>
      </c>
      <c r="B79" s="24"/>
      <c r="C79" s="24"/>
      <c r="D79" s="14"/>
      <c r="E79" s="14"/>
      <c r="F79" s="25"/>
      <c r="G79" s="25"/>
      <c r="H79" s="14"/>
      <c r="I79" s="14"/>
      <c r="J79" s="25"/>
      <c r="K79" s="25"/>
      <c r="L79" s="14"/>
      <c r="M79" s="14"/>
      <c r="N79" s="25"/>
      <c r="O79" s="25"/>
      <c r="P79" s="14"/>
      <c r="Q79" s="14"/>
      <c r="R79" s="25"/>
      <c r="S79" s="25"/>
      <c r="T79" s="14"/>
      <c r="U79" s="14"/>
      <c r="V79" s="25"/>
      <c r="W79" s="25"/>
      <c r="X79" s="14"/>
      <c r="Y79" s="14"/>
      <c r="Z79" s="25"/>
      <c r="AA79" s="14"/>
      <c r="AB79" s="14"/>
      <c r="AC79" s="25"/>
      <c r="AD79" s="25"/>
      <c r="AE79" s="14"/>
      <c r="AF79" s="14"/>
      <c r="AG79" s="25"/>
      <c r="AH79" s="25"/>
      <c r="AI79" s="14"/>
      <c r="AJ79" s="14"/>
      <c r="AK79" s="25"/>
      <c r="AL79" s="25"/>
      <c r="AM79" s="14"/>
      <c r="AN79" s="14"/>
      <c r="AO79" s="25"/>
      <c r="AP79" s="25"/>
      <c r="AQ79" s="14"/>
      <c r="AR79" s="14"/>
      <c r="AS79" s="25"/>
      <c r="AT79" s="25"/>
      <c r="AU79" s="14"/>
      <c r="AV79" s="14"/>
      <c r="AW79" s="25"/>
      <c r="AX79" s="25"/>
      <c r="AY79" s="14"/>
      <c r="AZ79" s="14"/>
      <c r="BA79" s="25"/>
      <c r="BB79" s="25"/>
      <c r="BC79" s="14"/>
      <c r="BD79" s="14"/>
      <c r="BE79" s="25"/>
      <c r="BF79" s="25"/>
      <c r="BG79" s="14"/>
      <c r="BH79" s="14"/>
      <c r="BI79" s="25"/>
      <c r="BJ79" s="25"/>
      <c r="BK79" s="14"/>
      <c r="BL79" s="7"/>
      <c r="BM79" s="24"/>
      <c r="BN79" s="24"/>
      <c r="BO79" s="7"/>
      <c r="BP79" s="7"/>
      <c r="BQ79" s="24"/>
      <c r="BR79" s="24"/>
      <c r="BS79" s="7"/>
      <c r="BT79" s="7"/>
      <c r="BU79" s="24"/>
      <c r="BV79" s="24"/>
      <c r="BW79" s="7"/>
      <c r="BX79" s="7"/>
      <c r="BY79" s="24"/>
      <c r="BZ79" s="7"/>
      <c r="CA79" s="7"/>
      <c r="CB79" s="24"/>
      <c r="CC79" s="7"/>
      <c r="CD79" s="7"/>
      <c r="CE79" s="24"/>
      <c r="CF79" s="7"/>
      <c r="CG79" s="7"/>
      <c r="CH79" s="24"/>
      <c r="CI79" s="7"/>
      <c r="CJ79" s="7"/>
      <c r="CK79" s="24"/>
      <c r="CL79" s="7"/>
      <c r="CM79" s="7"/>
      <c r="CN79" s="24"/>
      <c r="CO79" s="24"/>
      <c r="CP79" s="14"/>
      <c r="CQ79" s="7"/>
      <c r="CR79" s="7"/>
      <c r="CS79" s="7"/>
      <c r="CT79" s="7"/>
      <c r="CU79" s="7"/>
      <c r="CV79" s="7"/>
      <c r="CW79" s="7"/>
      <c r="CX79" s="31">
        <f>SUM(D79,H79,L79,P79,T79,X79,AA79,AE79,AI79,AM79,AQ79,BC79,BG79,BK79,BO79,BS79,BW79,BZ79,AU79,AY79,CC79,CF79)</f>
        <v>0</v>
      </c>
    </row>
    <row r="81" spans="1:102" x14ac:dyDescent="0.2">
      <c r="A81" s="10"/>
      <c r="B81" s="24"/>
      <c r="C81" s="24"/>
      <c r="D81" s="14"/>
      <c r="E81" s="14"/>
      <c r="F81" s="25"/>
      <c r="G81" s="25"/>
      <c r="H81" s="14"/>
      <c r="I81" s="14"/>
      <c r="J81" s="25"/>
      <c r="K81" s="25"/>
      <c r="L81" s="14"/>
      <c r="M81" s="14"/>
      <c r="N81" s="25"/>
      <c r="O81" s="25"/>
      <c r="P81" s="14"/>
      <c r="Q81" s="14"/>
      <c r="R81" s="25"/>
      <c r="S81" s="25"/>
      <c r="T81" s="14"/>
      <c r="U81" s="14"/>
      <c r="V81" s="25"/>
      <c r="W81" s="25"/>
      <c r="X81" s="14"/>
      <c r="Y81" s="14"/>
      <c r="Z81" s="25"/>
      <c r="AA81" s="14"/>
      <c r="AB81" s="14"/>
      <c r="AC81" s="25"/>
      <c r="AD81" s="25"/>
      <c r="AE81" s="14"/>
      <c r="AF81" s="14"/>
      <c r="AG81" s="25"/>
      <c r="AH81" s="25"/>
      <c r="AI81" s="14"/>
      <c r="AJ81" s="14"/>
      <c r="AK81" s="25"/>
      <c r="AL81" s="25"/>
      <c r="AM81" s="14"/>
      <c r="AN81" s="14"/>
      <c r="AO81" s="25"/>
      <c r="AP81" s="25"/>
      <c r="AQ81" s="14"/>
      <c r="AR81" s="14"/>
      <c r="AS81" s="25"/>
      <c r="AT81" s="25"/>
      <c r="AU81" s="14"/>
      <c r="AV81" s="14"/>
      <c r="AW81" s="25"/>
      <c r="AX81" s="25"/>
      <c r="AY81" s="14"/>
      <c r="AZ81" s="14"/>
      <c r="BA81" s="25"/>
      <c r="BB81" s="25"/>
      <c r="BC81" s="14"/>
      <c r="BD81" s="14"/>
      <c r="BE81" s="25"/>
      <c r="BF81" s="25"/>
      <c r="BG81" s="14"/>
      <c r="BH81" s="14"/>
      <c r="BI81" s="25"/>
      <c r="BJ81" s="25"/>
      <c r="BK81" s="14"/>
      <c r="BL81" s="7"/>
      <c r="BM81" s="24"/>
      <c r="BN81" s="24"/>
      <c r="BO81" s="7"/>
      <c r="BP81" s="7"/>
      <c r="BQ81" s="24"/>
      <c r="BR81" s="24"/>
      <c r="BS81" s="7"/>
      <c r="BT81" s="7"/>
      <c r="BU81" s="24"/>
      <c r="BV81" s="24"/>
      <c r="BW81" s="7"/>
      <c r="BX81" s="7"/>
      <c r="BY81" s="24"/>
      <c r="BZ81" s="7"/>
      <c r="CA81" s="7"/>
      <c r="CB81" s="24"/>
      <c r="CC81" s="7"/>
      <c r="CD81" s="7"/>
      <c r="CE81" s="24"/>
      <c r="CF81" s="7"/>
      <c r="CG81" s="7"/>
      <c r="CH81" s="24"/>
      <c r="CI81" s="7"/>
      <c r="CJ81" s="7"/>
      <c r="CK81" s="24"/>
      <c r="CL81" s="7"/>
      <c r="CM81" s="7"/>
      <c r="CN81" s="24"/>
      <c r="CO81" s="24"/>
      <c r="CP81" s="14"/>
      <c r="CQ81" s="7"/>
      <c r="CR81" s="7"/>
      <c r="CS81" s="7"/>
      <c r="CT81" s="7"/>
      <c r="CU81" s="7"/>
      <c r="CV81" s="7"/>
      <c r="CW81" s="7"/>
      <c r="CX81" s="31"/>
    </row>
    <row r="82" spans="1:102" x14ac:dyDescent="0.2">
      <c r="A82" s="61" t="s">
        <v>156</v>
      </c>
      <c r="B82" s="26"/>
      <c r="C82" s="26"/>
      <c r="D82" s="14"/>
      <c r="E82" s="14"/>
      <c r="F82" s="74"/>
      <c r="G82" s="74"/>
      <c r="H82" s="14"/>
      <c r="I82" s="14"/>
      <c r="J82" s="74"/>
      <c r="K82" s="74"/>
      <c r="L82" s="14"/>
      <c r="M82" s="14"/>
      <c r="N82" s="74"/>
      <c r="O82" s="74"/>
      <c r="P82" s="14">
        <v>320</v>
      </c>
      <c r="Q82" s="14"/>
      <c r="R82" s="74"/>
      <c r="S82" s="74"/>
      <c r="T82" s="14">
        <v>305</v>
      </c>
      <c r="U82" s="14"/>
      <c r="V82" s="74"/>
      <c r="W82" s="74"/>
      <c r="X82" s="14"/>
      <c r="Y82" s="14"/>
      <c r="Z82" s="74"/>
      <c r="AA82" s="14"/>
      <c r="AB82" s="14"/>
      <c r="AC82" s="74"/>
      <c r="AD82" s="74"/>
      <c r="AE82" s="14"/>
      <c r="AF82" s="14"/>
      <c r="AG82" s="74"/>
      <c r="AH82" s="74"/>
      <c r="AI82" s="14"/>
      <c r="AJ82" s="14"/>
      <c r="AK82" s="74"/>
      <c r="AL82" s="74"/>
      <c r="AM82" s="14"/>
      <c r="AN82" s="14"/>
      <c r="AO82" s="74"/>
      <c r="AP82" s="74"/>
      <c r="AQ82" s="14"/>
      <c r="AR82" s="14"/>
      <c r="AS82" s="74"/>
      <c r="AT82" s="74"/>
      <c r="AU82" s="14"/>
      <c r="AV82" s="14"/>
      <c r="AW82" s="74"/>
      <c r="AX82" s="74"/>
      <c r="AY82" s="14"/>
      <c r="AZ82" s="14"/>
      <c r="BA82" s="74"/>
      <c r="BB82" s="74"/>
      <c r="BC82" s="14"/>
      <c r="BD82" s="14"/>
      <c r="BE82" s="74"/>
      <c r="BF82" s="74"/>
      <c r="BG82" s="14"/>
      <c r="BH82" s="14"/>
      <c r="BI82" s="74"/>
      <c r="BJ82" s="74"/>
      <c r="BK82" s="14"/>
      <c r="BL82" s="7"/>
      <c r="BM82" s="26"/>
      <c r="BN82" s="26"/>
      <c r="BO82" s="7"/>
      <c r="BP82" s="7"/>
      <c r="BQ82" s="26"/>
      <c r="BR82" s="26"/>
      <c r="BS82" s="7"/>
      <c r="BT82" s="7"/>
      <c r="BU82" s="26"/>
      <c r="BV82" s="26"/>
      <c r="BW82" s="7"/>
      <c r="BX82" s="7"/>
      <c r="BY82" s="26"/>
      <c r="BZ82" s="7"/>
      <c r="CA82" s="7"/>
      <c r="CB82" s="26"/>
      <c r="CC82" s="7"/>
      <c r="CD82" s="7"/>
      <c r="CE82" s="26"/>
      <c r="CF82" s="7"/>
      <c r="CG82" s="7"/>
      <c r="CH82" s="26"/>
      <c r="CI82" s="7"/>
      <c r="CJ82" s="7"/>
      <c r="CK82" s="26"/>
      <c r="CL82" s="7"/>
      <c r="CM82" s="7"/>
      <c r="CN82" s="26"/>
      <c r="CO82" s="26"/>
      <c r="CP82" s="14"/>
      <c r="CQ82" s="7"/>
      <c r="CR82" s="7"/>
      <c r="CS82" s="7"/>
      <c r="CT82" s="7"/>
      <c r="CU82" s="7"/>
      <c r="CV82" s="7"/>
      <c r="CW82" s="7"/>
      <c r="CX82" s="31">
        <f>SUM(D82,H82,L82,P82,T82,X82,AA82,AE82,AI82,AM82,AQ82,BC82,BG82,BK82,BO82,BS82,BW82,BZ82,AU82,AY82,CC82,CF82)</f>
        <v>625</v>
      </c>
    </row>
    <row r="83" spans="1:102" x14ac:dyDescent="0.2">
      <c r="A83" s="10"/>
      <c r="B83" s="24"/>
      <c r="C83" s="24"/>
      <c r="D83" s="14"/>
      <c r="E83" s="14"/>
      <c r="F83" s="25"/>
      <c r="G83" s="25"/>
      <c r="H83" s="14"/>
      <c r="I83" s="14"/>
      <c r="J83" s="25"/>
      <c r="K83" s="25"/>
      <c r="L83" s="14"/>
      <c r="M83" s="14"/>
      <c r="N83" s="25"/>
      <c r="O83" s="25"/>
      <c r="P83" s="14"/>
      <c r="Q83" s="14"/>
      <c r="R83" s="25"/>
      <c r="S83" s="25"/>
      <c r="T83" s="14"/>
      <c r="U83" s="14"/>
      <c r="V83" s="25"/>
      <c r="W83" s="25"/>
      <c r="X83" s="14"/>
      <c r="Y83" s="14"/>
      <c r="Z83" s="25"/>
      <c r="AA83" s="14"/>
      <c r="AB83" s="14"/>
      <c r="AC83" s="25"/>
      <c r="AD83" s="25"/>
      <c r="AE83" s="14"/>
      <c r="AF83" s="14"/>
      <c r="AG83" s="25"/>
      <c r="AH83" s="25"/>
      <c r="AI83" s="14"/>
      <c r="AJ83" s="14"/>
      <c r="AK83" s="25"/>
      <c r="AL83" s="25"/>
      <c r="AM83" s="14"/>
      <c r="AN83" s="14"/>
      <c r="AO83" s="25"/>
      <c r="AP83" s="25"/>
      <c r="AQ83" s="14"/>
      <c r="AR83" s="14"/>
      <c r="AS83" s="25"/>
      <c r="AT83" s="25"/>
      <c r="AU83" s="14"/>
      <c r="AV83" s="14"/>
      <c r="AW83" s="25"/>
      <c r="AX83" s="25"/>
      <c r="AY83" s="14"/>
      <c r="AZ83" s="14"/>
      <c r="BA83" s="25"/>
      <c r="BB83" s="25"/>
      <c r="BC83" s="14"/>
      <c r="BD83" s="14"/>
      <c r="BE83" s="25"/>
      <c r="BF83" s="25"/>
      <c r="BG83" s="14"/>
      <c r="BH83" s="14"/>
      <c r="BI83" s="25"/>
      <c r="BJ83" s="25"/>
      <c r="BK83" s="14"/>
      <c r="BL83" s="7"/>
      <c r="BM83" s="24"/>
      <c r="BN83" s="24"/>
      <c r="BO83" s="7"/>
      <c r="BP83" s="7"/>
      <c r="BQ83" s="24"/>
      <c r="BR83" s="24"/>
      <c r="BS83" s="7"/>
      <c r="BT83" s="7"/>
      <c r="BU83" s="24"/>
      <c r="BV83" s="24"/>
      <c r="BW83" s="7"/>
      <c r="BX83" s="7"/>
      <c r="BY83" s="24"/>
      <c r="BZ83" s="7"/>
      <c r="CA83" s="7"/>
      <c r="CB83" s="24"/>
      <c r="CC83" s="7"/>
      <c r="CD83" s="7"/>
      <c r="CE83" s="24"/>
      <c r="CF83" s="7"/>
      <c r="CG83" s="7"/>
      <c r="CH83" s="24"/>
      <c r="CI83" s="7"/>
      <c r="CJ83" s="7"/>
      <c r="CK83" s="24"/>
      <c r="CL83" s="7"/>
      <c r="CM83" s="7"/>
      <c r="CN83" s="24"/>
      <c r="CO83" s="24"/>
      <c r="CP83" s="14"/>
      <c r="CQ83" s="7"/>
      <c r="CR83" s="7"/>
      <c r="CS83" s="7"/>
      <c r="CT83" s="7"/>
      <c r="CU83" s="7"/>
      <c r="CV83" s="7"/>
      <c r="CW83" s="7"/>
      <c r="CX83" s="31"/>
    </row>
    <row r="84" spans="1:102" x14ac:dyDescent="0.2">
      <c r="A84" s="10"/>
      <c r="B84" s="24"/>
      <c r="C84" s="24"/>
      <c r="D84" s="14"/>
      <c r="E84" s="14"/>
      <c r="F84" s="25"/>
      <c r="G84" s="25"/>
      <c r="H84" s="14"/>
      <c r="I84" s="14"/>
      <c r="J84" s="25"/>
      <c r="K84" s="25"/>
      <c r="L84" s="14"/>
      <c r="M84" s="14"/>
      <c r="N84" s="25"/>
      <c r="O84" s="25"/>
      <c r="P84" s="14"/>
      <c r="Q84" s="14"/>
      <c r="R84" s="25"/>
      <c r="S84" s="25"/>
      <c r="T84" s="14"/>
      <c r="U84" s="14"/>
      <c r="V84" s="25"/>
      <c r="W84" s="25"/>
      <c r="X84" s="14"/>
      <c r="Y84" s="14"/>
      <c r="Z84" s="25"/>
      <c r="AA84" s="14"/>
      <c r="AB84" s="14"/>
      <c r="AC84" s="25"/>
      <c r="AD84" s="25"/>
      <c r="AE84" s="14"/>
      <c r="AF84" s="14"/>
      <c r="AG84" s="25"/>
      <c r="AH84" s="25"/>
      <c r="AI84" s="14"/>
      <c r="AJ84" s="14"/>
      <c r="AK84" s="25"/>
      <c r="AL84" s="25"/>
      <c r="AM84" s="14"/>
      <c r="AN84" s="14"/>
      <c r="AO84" s="25"/>
      <c r="AP84" s="25"/>
      <c r="AQ84" s="14"/>
      <c r="AR84" s="14"/>
      <c r="AS84" s="25"/>
      <c r="AT84" s="25"/>
      <c r="AU84" s="14"/>
      <c r="AV84" s="14"/>
      <c r="AW84" s="25"/>
      <c r="AX84" s="25"/>
      <c r="AY84" s="14"/>
      <c r="AZ84" s="14"/>
      <c r="BA84" s="25"/>
      <c r="BB84" s="25"/>
      <c r="BC84" s="14"/>
      <c r="BD84" s="14"/>
      <c r="BE84" s="25"/>
      <c r="BF84" s="25"/>
      <c r="BG84" s="14"/>
      <c r="BH84" s="14"/>
      <c r="BI84" s="25"/>
      <c r="BJ84" s="25"/>
      <c r="BK84" s="14"/>
      <c r="BL84" s="7"/>
      <c r="BM84" s="24"/>
      <c r="BN84" s="24"/>
      <c r="BO84" s="7"/>
      <c r="BP84" s="7"/>
      <c r="BQ84" s="24"/>
      <c r="BR84" s="24"/>
      <c r="BS84" s="7"/>
      <c r="BT84" s="7"/>
      <c r="BU84" s="24"/>
      <c r="BV84" s="24"/>
      <c r="BW84" s="7"/>
      <c r="BX84" s="7"/>
      <c r="BY84" s="24"/>
      <c r="BZ84" s="7"/>
      <c r="CA84" s="7"/>
      <c r="CB84" s="24"/>
      <c r="CC84" s="7"/>
      <c r="CD84" s="7"/>
      <c r="CE84" s="24"/>
      <c r="CF84" s="7"/>
      <c r="CG84" s="7"/>
      <c r="CH84" s="24"/>
      <c r="CI84" s="7"/>
      <c r="CJ84" s="7"/>
      <c r="CK84" s="24"/>
      <c r="CL84" s="7"/>
      <c r="CM84" s="7"/>
      <c r="CN84" s="24"/>
      <c r="CO84" s="24"/>
      <c r="CP84" s="14"/>
      <c r="CQ84" s="7"/>
      <c r="CR84" s="7"/>
      <c r="CS84" s="7"/>
      <c r="CT84" s="7"/>
      <c r="CU84" s="7"/>
      <c r="CV84" s="7"/>
      <c r="CW84" s="7"/>
      <c r="CX84" s="31"/>
    </row>
    <row r="85" spans="1:102" x14ac:dyDescent="0.2">
      <c r="A85" s="10" t="s">
        <v>2</v>
      </c>
      <c r="B85" s="24"/>
      <c r="C85" s="24"/>
      <c r="D85" s="14"/>
      <c r="E85" s="14"/>
      <c r="F85" s="25"/>
      <c r="G85" s="25"/>
      <c r="H85" s="14"/>
      <c r="I85" s="14"/>
      <c r="J85" s="25"/>
      <c r="K85" s="25"/>
      <c r="L85" s="14"/>
      <c r="M85" s="14"/>
      <c r="N85" s="25"/>
      <c r="O85" s="25"/>
      <c r="P85" s="14"/>
      <c r="Q85" s="14"/>
      <c r="R85" s="25"/>
      <c r="S85" s="25"/>
      <c r="T85" s="14"/>
      <c r="U85" s="14"/>
      <c r="V85" s="25"/>
      <c r="W85" s="25"/>
      <c r="X85" s="14"/>
      <c r="Y85" s="14"/>
      <c r="Z85" s="25"/>
      <c r="AA85" s="14"/>
      <c r="AB85" s="14"/>
      <c r="AC85" s="25"/>
      <c r="AD85" s="25"/>
      <c r="AE85" s="14"/>
      <c r="AF85" s="14"/>
      <c r="AG85" s="25"/>
      <c r="AH85" s="25"/>
      <c r="AI85" s="14"/>
      <c r="AJ85" s="14"/>
      <c r="AK85" s="25"/>
      <c r="AL85" s="25"/>
      <c r="AM85" s="14"/>
      <c r="AN85" s="14"/>
      <c r="AO85" s="25"/>
      <c r="AP85" s="25"/>
      <c r="AQ85" s="14"/>
      <c r="AR85" s="14"/>
      <c r="AS85" s="25"/>
      <c r="AT85" s="25"/>
      <c r="AU85" s="14"/>
      <c r="AV85" s="14"/>
      <c r="AW85" s="25"/>
      <c r="AX85" s="25"/>
      <c r="AY85" s="14"/>
      <c r="AZ85" s="14"/>
      <c r="BA85" s="25"/>
      <c r="BB85" s="25"/>
      <c r="BC85" s="14"/>
      <c r="BD85" s="14"/>
      <c r="BE85" s="25"/>
      <c r="BF85" s="25"/>
      <c r="BG85" s="14"/>
      <c r="BH85" s="14"/>
      <c r="BI85" s="25"/>
      <c r="BJ85" s="25"/>
      <c r="BK85" s="14"/>
      <c r="BL85" s="7"/>
      <c r="BM85" s="24"/>
      <c r="BN85" s="24"/>
      <c r="BO85" s="7"/>
      <c r="BP85" s="7"/>
      <c r="BQ85" s="24"/>
      <c r="BR85" s="24"/>
      <c r="BS85" s="7"/>
      <c r="BT85" s="7"/>
      <c r="BU85" s="24"/>
      <c r="BV85" s="24"/>
      <c r="BW85" s="7"/>
      <c r="BX85" s="7"/>
      <c r="BY85" s="24"/>
      <c r="BZ85" s="7"/>
      <c r="CA85" s="7"/>
      <c r="CB85" s="24"/>
      <c r="CC85" s="7"/>
      <c r="CD85" s="7"/>
      <c r="CE85" s="24"/>
      <c r="CF85" s="7"/>
      <c r="CG85" s="7"/>
      <c r="CH85" s="24"/>
      <c r="CI85" s="7"/>
      <c r="CJ85" s="7"/>
      <c r="CK85" s="24"/>
      <c r="CL85" s="7"/>
      <c r="CM85" s="7"/>
      <c r="CN85" s="24"/>
      <c r="CO85" s="24"/>
      <c r="CP85" s="14"/>
      <c r="CQ85" s="7"/>
      <c r="CR85" s="7"/>
      <c r="CS85" s="7"/>
      <c r="CT85" s="7"/>
      <c r="CU85" s="7"/>
      <c r="CV85" s="7"/>
      <c r="CW85" s="7"/>
      <c r="CX85" s="31">
        <f t="shared" ref="CX85:CX90" si="1">SUM(D85,H85,L85,P85,T85,X85,AA85,AE85,AI85,AM85,AQ85,BC85,BG85,BK85,BO85,BS85,BW85,BZ85,AU85,AY85,CC85,CF85)</f>
        <v>0</v>
      </c>
    </row>
    <row r="86" spans="1:102" x14ac:dyDescent="0.2">
      <c r="A86" s="10" t="s">
        <v>3</v>
      </c>
      <c r="B86" s="24"/>
      <c r="C86" s="24"/>
      <c r="D86" s="14"/>
      <c r="E86" s="14"/>
      <c r="F86" s="25"/>
      <c r="G86" s="25"/>
      <c r="H86" s="14"/>
      <c r="I86" s="14"/>
      <c r="J86" s="25"/>
      <c r="K86" s="25"/>
      <c r="L86" s="14"/>
      <c r="M86" s="14"/>
      <c r="N86" s="25"/>
      <c r="O86" s="25"/>
      <c r="P86" s="14"/>
      <c r="Q86" s="14"/>
      <c r="R86" s="25"/>
      <c r="S86" s="25"/>
      <c r="T86" s="14"/>
      <c r="U86" s="14"/>
      <c r="V86" s="25"/>
      <c r="W86" s="25"/>
      <c r="X86" s="14"/>
      <c r="Y86" s="14"/>
      <c r="Z86" s="25"/>
      <c r="AA86" s="14"/>
      <c r="AB86" s="14"/>
      <c r="AC86" s="25"/>
      <c r="AD86" s="25"/>
      <c r="AE86" s="14"/>
      <c r="AF86" s="14"/>
      <c r="AG86" s="25"/>
      <c r="AH86" s="25"/>
      <c r="AI86" s="14"/>
      <c r="AJ86" s="14"/>
      <c r="AK86" s="25"/>
      <c r="AL86" s="25"/>
      <c r="AM86" s="14"/>
      <c r="AN86" s="14"/>
      <c r="AO86" s="25"/>
      <c r="AP86" s="25"/>
      <c r="AQ86" s="14"/>
      <c r="AR86" s="14"/>
      <c r="AS86" s="25"/>
      <c r="AT86" s="25"/>
      <c r="AU86" s="14"/>
      <c r="AV86" s="14"/>
      <c r="AW86" s="25"/>
      <c r="AX86" s="25"/>
      <c r="AY86" s="14"/>
      <c r="AZ86" s="14"/>
      <c r="BA86" s="25"/>
      <c r="BB86" s="25"/>
      <c r="BC86" s="14"/>
      <c r="BD86" s="14"/>
      <c r="BE86" s="25"/>
      <c r="BF86" s="25"/>
      <c r="BG86" s="14"/>
      <c r="BH86" s="14"/>
      <c r="BI86" s="25"/>
      <c r="BJ86" s="25"/>
      <c r="BK86" s="14"/>
      <c r="BL86" s="7"/>
      <c r="BM86" s="24"/>
      <c r="BN86" s="24"/>
      <c r="BO86" s="7"/>
      <c r="BP86" s="7"/>
      <c r="BQ86" s="24"/>
      <c r="BR86" s="24"/>
      <c r="BS86" s="7"/>
      <c r="BT86" s="7"/>
      <c r="BU86" s="24"/>
      <c r="BV86" s="24"/>
      <c r="BW86" s="7"/>
      <c r="BX86" s="7"/>
      <c r="BY86" s="24"/>
      <c r="BZ86" s="7"/>
      <c r="CA86" s="7"/>
      <c r="CB86" s="24"/>
      <c r="CC86" s="7"/>
      <c r="CD86" s="7"/>
      <c r="CE86" s="24"/>
      <c r="CF86" s="7"/>
      <c r="CG86" s="7"/>
      <c r="CH86" s="24"/>
      <c r="CI86" s="7"/>
      <c r="CJ86" s="7"/>
      <c r="CK86" s="24"/>
      <c r="CL86" s="7"/>
      <c r="CM86" s="7"/>
      <c r="CN86" s="24"/>
      <c r="CO86" s="24"/>
      <c r="CP86" s="14"/>
      <c r="CQ86" s="7"/>
      <c r="CR86" s="7"/>
      <c r="CS86" s="7"/>
      <c r="CT86" s="7"/>
      <c r="CU86" s="7"/>
      <c r="CV86" s="7"/>
      <c r="CW86" s="7"/>
      <c r="CX86" s="31">
        <f t="shared" si="1"/>
        <v>0</v>
      </c>
    </row>
    <row r="88" spans="1:102" x14ac:dyDescent="0.2">
      <c r="A88" s="10" t="s">
        <v>73</v>
      </c>
      <c r="B88" s="25" t="s">
        <v>149</v>
      </c>
      <c r="C88" s="24"/>
      <c r="D88" s="14">
        <v>1240</v>
      </c>
      <c r="E88" s="14"/>
      <c r="F88" s="25"/>
      <c r="G88" s="25"/>
      <c r="H88" s="14"/>
      <c r="I88" s="14"/>
      <c r="J88" s="25"/>
      <c r="K88" s="25"/>
      <c r="L88" s="14"/>
      <c r="M88" s="14"/>
      <c r="N88" s="25"/>
      <c r="O88" s="25"/>
      <c r="P88" s="14"/>
      <c r="Q88" s="14"/>
      <c r="R88" s="25"/>
      <c r="S88" s="25"/>
      <c r="T88" s="14"/>
      <c r="U88" s="14"/>
      <c r="V88" s="25"/>
      <c r="W88" s="25"/>
      <c r="X88" s="14"/>
      <c r="Y88" s="14"/>
      <c r="Z88" s="25"/>
      <c r="AA88" s="14"/>
      <c r="AB88" s="14"/>
      <c r="AC88" s="25"/>
      <c r="AD88" s="25"/>
      <c r="AE88" s="14"/>
      <c r="AF88" s="14"/>
      <c r="AG88" s="25"/>
      <c r="AH88" s="25"/>
      <c r="AI88" s="14"/>
      <c r="AJ88" s="14"/>
      <c r="AK88" s="25"/>
      <c r="AL88" s="25"/>
      <c r="AM88" s="14"/>
      <c r="AN88" s="14"/>
      <c r="AO88" s="25"/>
      <c r="AP88" s="25"/>
      <c r="AQ88" s="14"/>
      <c r="AR88" s="14"/>
      <c r="AS88" s="25"/>
      <c r="AT88" s="25"/>
      <c r="AU88" s="14"/>
      <c r="AV88" s="14"/>
      <c r="AW88" s="25"/>
      <c r="AX88" s="25"/>
      <c r="AY88" s="14"/>
      <c r="AZ88" s="14"/>
      <c r="BA88" s="25"/>
      <c r="BB88" s="25"/>
      <c r="BC88" s="14"/>
      <c r="BD88" s="14"/>
      <c r="BE88" s="25"/>
      <c r="BF88" s="25"/>
      <c r="BG88" s="14"/>
      <c r="BH88" s="14"/>
      <c r="BI88" s="25"/>
      <c r="BJ88" s="25"/>
      <c r="BK88" s="14"/>
      <c r="BL88" s="7"/>
      <c r="BM88" s="24"/>
      <c r="BN88" s="24"/>
      <c r="BO88" s="7"/>
      <c r="BP88" s="7"/>
      <c r="BQ88" s="24"/>
      <c r="BR88" s="24"/>
      <c r="BS88" s="7"/>
      <c r="BT88" s="7"/>
      <c r="BU88" s="24"/>
      <c r="BV88" s="24"/>
      <c r="BW88" s="7"/>
      <c r="BX88" s="7"/>
      <c r="BY88" s="24"/>
      <c r="BZ88" s="7"/>
      <c r="CA88" s="7"/>
      <c r="CB88" s="24"/>
      <c r="CC88" s="7"/>
      <c r="CD88" s="7"/>
      <c r="CE88" s="24"/>
      <c r="CF88" s="7"/>
      <c r="CG88" s="7"/>
      <c r="CH88" s="24"/>
      <c r="CI88" s="7"/>
      <c r="CJ88" s="7"/>
      <c r="CK88" s="24"/>
      <c r="CL88" s="7"/>
      <c r="CM88" s="7"/>
      <c r="CN88" s="24"/>
      <c r="CO88" s="24"/>
      <c r="CP88" s="14"/>
      <c r="CQ88" s="7"/>
      <c r="CR88" s="7"/>
      <c r="CS88" s="7"/>
      <c r="CT88" s="7"/>
      <c r="CU88" s="7"/>
      <c r="CV88" s="7"/>
      <c r="CW88" s="7"/>
      <c r="CX88" s="31">
        <f>SUM(D88,H88,L88,P88,T88,X88,AA88,AE88,AI88,AM88,AQ88,BC88,BG88,BK88,BO88,BS88,BW88,BZ88,AU88,AY88,CC88,CF88)</f>
        <v>1240</v>
      </c>
    </row>
    <row r="89" spans="1:102" x14ac:dyDescent="0.2">
      <c r="A89" s="61" t="s">
        <v>137</v>
      </c>
      <c r="B89" s="26"/>
      <c r="C89" s="26"/>
      <c r="D89" s="14"/>
      <c r="E89" s="14"/>
      <c r="F89" s="74"/>
      <c r="G89" s="74"/>
      <c r="H89" s="14"/>
      <c r="I89" s="14"/>
      <c r="J89" s="74"/>
      <c r="K89" s="74"/>
      <c r="L89" s="14">
        <v>153.63</v>
      </c>
      <c r="M89" s="14"/>
      <c r="N89" s="74"/>
      <c r="O89" s="74"/>
      <c r="P89" s="14"/>
      <c r="Q89" s="14"/>
      <c r="R89" s="74"/>
      <c r="S89" s="74"/>
      <c r="T89" s="14"/>
      <c r="U89" s="14"/>
      <c r="V89" s="74"/>
      <c r="W89" s="74"/>
      <c r="X89" s="14"/>
      <c r="Y89" s="14"/>
      <c r="Z89" s="74"/>
      <c r="AA89" s="14"/>
      <c r="AB89" s="14"/>
      <c r="AC89" s="74"/>
      <c r="AD89" s="74"/>
      <c r="AE89" s="14"/>
      <c r="AF89" s="14"/>
      <c r="AG89" s="74"/>
      <c r="AH89" s="74"/>
      <c r="AI89" s="14"/>
      <c r="AJ89" s="14"/>
      <c r="AK89" s="74"/>
      <c r="AL89" s="74"/>
      <c r="AM89" s="14"/>
      <c r="AN89" s="14"/>
      <c r="AO89" s="74"/>
      <c r="AP89" s="74"/>
      <c r="AQ89" s="14"/>
      <c r="AR89" s="14"/>
      <c r="AS89" s="74"/>
      <c r="AT89" s="74"/>
      <c r="AU89" s="14"/>
      <c r="AV89" s="14"/>
      <c r="AW89" s="74"/>
      <c r="AX89" s="74"/>
      <c r="AY89" s="14"/>
      <c r="AZ89" s="14"/>
      <c r="BA89" s="74"/>
      <c r="BB89" s="74"/>
      <c r="BC89" s="14"/>
      <c r="BD89" s="14"/>
      <c r="BE89" s="74"/>
      <c r="BF89" s="74"/>
      <c r="BG89" s="14"/>
      <c r="BH89" s="14"/>
      <c r="BI89" s="74"/>
      <c r="BJ89" s="74"/>
      <c r="BK89" s="14"/>
      <c r="BL89" s="7"/>
      <c r="BM89" s="26"/>
      <c r="BN89" s="26"/>
      <c r="BO89" s="7"/>
      <c r="BP89" s="7"/>
      <c r="BQ89" s="26"/>
      <c r="BR89" s="26"/>
      <c r="BS89" s="7"/>
      <c r="BT89" s="7"/>
      <c r="BU89" s="26"/>
      <c r="BV89" s="26"/>
      <c r="BW89" s="7"/>
      <c r="BX89" s="7"/>
      <c r="BY89" s="26"/>
      <c r="BZ89" s="7"/>
      <c r="CA89" s="7"/>
      <c r="CB89" s="26"/>
      <c r="CC89" s="7"/>
      <c r="CD89" s="7"/>
      <c r="CE89" s="26"/>
      <c r="CF89" s="7"/>
      <c r="CG89" s="7"/>
      <c r="CH89" s="26"/>
      <c r="CI89" s="7"/>
      <c r="CJ89" s="7"/>
      <c r="CK89" s="26"/>
      <c r="CL89" s="7"/>
      <c r="CM89" s="7"/>
      <c r="CN89" s="26"/>
      <c r="CO89" s="26"/>
      <c r="CP89" s="14"/>
      <c r="CQ89" s="7"/>
      <c r="CR89" s="7"/>
      <c r="CS89" s="7"/>
      <c r="CT89" s="7"/>
      <c r="CU89" s="7"/>
      <c r="CV89" s="7"/>
      <c r="CW89" s="7"/>
      <c r="CX89" s="31">
        <f t="shared" si="1"/>
        <v>153.63</v>
      </c>
    </row>
    <row r="90" spans="1:102" x14ac:dyDescent="0.2">
      <c r="B90" s="26"/>
      <c r="C90" s="26"/>
      <c r="D90" s="14"/>
      <c r="E90" s="14"/>
      <c r="F90" s="74"/>
      <c r="G90" s="74"/>
      <c r="H90" s="14"/>
      <c r="I90" s="14"/>
      <c r="J90" s="74"/>
      <c r="K90" s="74"/>
      <c r="L90" s="14"/>
      <c r="M90" s="14"/>
      <c r="N90" s="74"/>
      <c r="O90" s="74"/>
      <c r="P90" s="14"/>
      <c r="Q90" s="14"/>
      <c r="R90" s="74"/>
      <c r="S90" s="74"/>
      <c r="T90" s="14"/>
      <c r="U90" s="14"/>
      <c r="V90" s="74"/>
      <c r="W90" s="74"/>
      <c r="X90" s="14"/>
      <c r="Y90" s="14"/>
      <c r="Z90" s="74"/>
      <c r="AA90" s="14"/>
      <c r="AB90" s="14"/>
      <c r="AC90" s="74"/>
      <c r="AD90" s="74"/>
      <c r="AE90" s="14"/>
      <c r="AF90" s="14"/>
      <c r="AG90" s="74"/>
      <c r="AH90" s="74"/>
      <c r="AI90" s="14"/>
      <c r="AJ90" s="14"/>
      <c r="AK90" s="74"/>
      <c r="AL90" s="74"/>
      <c r="AM90" s="14"/>
      <c r="AN90" s="14"/>
      <c r="AO90" s="74"/>
      <c r="AP90" s="74"/>
      <c r="AQ90" s="14"/>
      <c r="AR90" s="14"/>
      <c r="AS90" s="74"/>
      <c r="AT90" s="74"/>
      <c r="AU90" s="14"/>
      <c r="AV90" s="14"/>
      <c r="AW90" s="74"/>
      <c r="AX90" s="74"/>
      <c r="AY90" s="14"/>
      <c r="AZ90" s="14"/>
      <c r="BA90" s="74"/>
      <c r="BB90" s="74"/>
      <c r="BC90" s="14"/>
      <c r="BD90" s="14"/>
      <c r="BE90" s="74"/>
      <c r="BF90" s="74"/>
      <c r="BG90" s="14"/>
      <c r="BH90" s="14"/>
      <c r="BI90" s="74"/>
      <c r="BJ90" s="74"/>
      <c r="BK90" s="14"/>
      <c r="BL90" s="7"/>
      <c r="BM90" s="26"/>
      <c r="BN90" s="26"/>
      <c r="BO90" s="7"/>
      <c r="BP90" s="7"/>
      <c r="BQ90" s="26"/>
      <c r="BR90" s="26"/>
      <c r="BS90" s="7"/>
      <c r="BT90" s="7"/>
      <c r="BU90" s="26"/>
      <c r="BV90" s="26"/>
      <c r="BW90" s="7"/>
      <c r="BX90" s="7"/>
      <c r="BY90" s="26"/>
      <c r="BZ90" s="7"/>
      <c r="CA90" s="7"/>
      <c r="CB90" s="26"/>
      <c r="CC90" s="7"/>
      <c r="CD90" s="7"/>
      <c r="CE90" s="26"/>
      <c r="CF90" s="7"/>
      <c r="CG90" s="7"/>
      <c r="CH90" s="26"/>
      <c r="CI90" s="7"/>
      <c r="CJ90" s="7"/>
      <c r="CK90" s="26"/>
      <c r="CL90" s="7"/>
      <c r="CM90" s="7"/>
      <c r="CN90" s="26"/>
      <c r="CO90" s="26"/>
      <c r="CP90" s="14"/>
      <c r="CQ90" s="7"/>
      <c r="CR90" s="7"/>
      <c r="CS90" s="7"/>
      <c r="CT90" s="7"/>
      <c r="CU90" s="7"/>
      <c r="CV90" s="7"/>
      <c r="CW90" s="7"/>
      <c r="CX90" s="31">
        <f t="shared" si="1"/>
        <v>0</v>
      </c>
    </row>
    <row r="91" spans="1:102" x14ac:dyDescent="0.2">
      <c r="B91" s="26"/>
      <c r="C91" s="26"/>
      <c r="D91" s="71">
        <f>SUM(D79:D90)</f>
        <v>1240</v>
      </c>
      <c r="E91" s="14"/>
      <c r="F91" s="74"/>
      <c r="G91" s="74"/>
      <c r="H91" s="71">
        <f>SUM(H79:H90)</f>
        <v>0</v>
      </c>
      <c r="I91" s="14"/>
      <c r="J91" s="74"/>
      <c r="K91" s="74"/>
      <c r="L91" s="71">
        <f>SUM(L79:L90)</f>
        <v>153.63</v>
      </c>
      <c r="M91" s="14"/>
      <c r="N91" s="74"/>
      <c r="O91" s="74"/>
      <c r="P91" s="71">
        <f>SUM(P79:P90)</f>
        <v>320</v>
      </c>
      <c r="Q91" s="14"/>
      <c r="R91" s="74"/>
      <c r="S91" s="74"/>
      <c r="T91" s="71">
        <f>SUM(T79:T90)</f>
        <v>305</v>
      </c>
      <c r="U91" s="14"/>
      <c r="V91" s="74"/>
      <c r="W91" s="74"/>
      <c r="X91" s="71">
        <f>SUM(X79:X90)</f>
        <v>0</v>
      </c>
      <c r="Y91" s="14"/>
      <c r="Z91" s="74"/>
      <c r="AA91" s="14"/>
      <c r="AB91" s="14"/>
      <c r="AC91" s="74"/>
      <c r="AD91" s="74"/>
      <c r="AE91" s="14"/>
      <c r="AF91" s="14"/>
      <c r="AG91" s="74"/>
      <c r="AH91" s="74"/>
      <c r="AI91" s="14"/>
      <c r="AJ91" s="14"/>
      <c r="AK91" s="74"/>
      <c r="AL91" s="74"/>
      <c r="AM91" s="14"/>
      <c r="AN91" s="14"/>
      <c r="AO91" s="74"/>
      <c r="AP91" s="74"/>
      <c r="AQ91" s="14"/>
      <c r="AR91" s="14"/>
      <c r="AS91" s="74"/>
      <c r="AT91" s="74"/>
      <c r="AU91" s="14"/>
      <c r="AV91" s="14"/>
      <c r="AW91" s="74"/>
      <c r="AX91" s="74"/>
      <c r="AY91" s="14"/>
      <c r="AZ91" s="14"/>
      <c r="BA91" s="74"/>
      <c r="BB91" s="74"/>
      <c r="BC91" s="14"/>
      <c r="BD91" s="14"/>
      <c r="BE91" s="74"/>
      <c r="BF91" s="74"/>
      <c r="BG91" s="14"/>
      <c r="BH91" s="14"/>
      <c r="BI91" s="74"/>
      <c r="BJ91" s="74"/>
      <c r="BK91" s="14"/>
      <c r="BL91" s="7"/>
      <c r="BM91" s="26"/>
      <c r="BN91" s="26"/>
      <c r="BO91" s="7"/>
      <c r="BP91" s="7"/>
      <c r="BQ91" s="26"/>
      <c r="BR91" s="26"/>
      <c r="BS91" s="7"/>
      <c r="BT91" s="7"/>
      <c r="BU91" s="26"/>
      <c r="BV91" s="26"/>
      <c r="BW91" s="7"/>
      <c r="BX91" s="7"/>
      <c r="BY91" s="26"/>
      <c r="BZ91" s="7"/>
      <c r="CA91" s="7"/>
      <c r="CB91" s="26"/>
      <c r="CC91" s="7"/>
      <c r="CD91" s="7"/>
      <c r="CE91" s="26"/>
      <c r="CF91" s="7"/>
      <c r="CG91" s="7"/>
      <c r="CH91" s="26"/>
      <c r="CI91" s="7"/>
      <c r="CJ91" s="7"/>
      <c r="CK91" s="26"/>
      <c r="CL91" s="7"/>
      <c r="CM91" s="7"/>
      <c r="CN91" s="26"/>
      <c r="CO91" s="26"/>
      <c r="CP91" s="14"/>
      <c r="CQ91" s="7"/>
      <c r="CR91" s="7"/>
      <c r="CS91" s="7"/>
      <c r="CT91" s="7"/>
      <c r="CU91" s="7"/>
      <c r="CV91" s="7"/>
      <c r="CW91" s="7"/>
      <c r="CX91" s="32">
        <f>SUM(CX79:CX90)</f>
        <v>2018.63</v>
      </c>
    </row>
    <row r="92" spans="1:102" x14ac:dyDescent="0.2">
      <c r="B92" s="26"/>
      <c r="C92" s="26"/>
      <c r="D92" s="14"/>
      <c r="E92" s="14"/>
      <c r="F92" s="74"/>
      <c r="G92" s="74"/>
      <c r="H92" s="14"/>
      <c r="I92" s="14"/>
      <c r="J92" s="74"/>
      <c r="K92" s="74"/>
      <c r="L92" s="14"/>
      <c r="M92" s="14"/>
      <c r="N92" s="74"/>
      <c r="O92" s="74"/>
      <c r="P92" s="14"/>
      <c r="Q92" s="14"/>
      <c r="R92" s="74"/>
      <c r="S92" s="74"/>
      <c r="T92" s="14"/>
      <c r="U92" s="14"/>
      <c r="V92" s="74"/>
      <c r="W92" s="74"/>
      <c r="X92" s="14"/>
      <c r="Y92" s="14"/>
      <c r="Z92" s="74"/>
      <c r="AA92" s="14"/>
      <c r="AB92" s="14"/>
      <c r="AC92" s="74"/>
      <c r="AD92" s="74"/>
      <c r="AE92" s="14"/>
      <c r="AF92" s="14"/>
      <c r="AG92" s="74"/>
      <c r="AH92" s="74"/>
      <c r="AI92" s="14"/>
      <c r="AJ92" s="14"/>
      <c r="AK92" s="74"/>
      <c r="AL92" s="74"/>
      <c r="AM92" s="14"/>
      <c r="AN92" s="14"/>
      <c r="AO92" s="74"/>
      <c r="AP92" s="74"/>
      <c r="AQ92" s="14"/>
      <c r="AR92" s="14"/>
      <c r="AS92" s="74"/>
      <c r="AT92" s="74"/>
      <c r="AU92" s="14"/>
      <c r="AV92" s="14"/>
      <c r="AW92" s="74"/>
      <c r="AX92" s="74"/>
      <c r="AY92" s="14"/>
      <c r="AZ92" s="14"/>
      <c r="BA92" s="74"/>
      <c r="BB92" s="74"/>
      <c r="BC92" s="14"/>
      <c r="BD92" s="14"/>
      <c r="BE92" s="74"/>
      <c r="BF92" s="74"/>
      <c r="BG92" s="14"/>
      <c r="BH92" s="14"/>
      <c r="BI92" s="74"/>
      <c r="BJ92" s="74"/>
      <c r="BK92" s="14"/>
      <c r="BL92" s="7"/>
      <c r="BM92" s="26"/>
      <c r="BN92" s="26"/>
      <c r="BO92" s="7"/>
      <c r="BP92" s="7"/>
      <c r="BQ92" s="26"/>
      <c r="BR92" s="26"/>
      <c r="BS92" s="7"/>
      <c r="BT92" s="7"/>
      <c r="BU92" s="26"/>
      <c r="BV92" s="26"/>
      <c r="BW92" s="7"/>
      <c r="BX92" s="7"/>
      <c r="BY92" s="26"/>
      <c r="BZ92" s="7"/>
      <c r="CA92" s="7"/>
      <c r="CB92" s="26"/>
      <c r="CC92" s="7"/>
      <c r="CD92" s="7"/>
      <c r="CE92" s="26"/>
      <c r="CF92" s="7"/>
      <c r="CG92" s="7"/>
      <c r="CH92" s="26"/>
      <c r="CI92" s="7"/>
      <c r="CJ92" s="7"/>
      <c r="CK92" s="26"/>
      <c r="CL92" s="7"/>
      <c r="CM92" s="7"/>
      <c r="CN92" s="26"/>
      <c r="CO92" s="26"/>
      <c r="CP92" s="14"/>
      <c r="CQ92" s="7"/>
      <c r="CR92" s="7"/>
      <c r="CS92" s="7"/>
      <c r="CT92" s="7"/>
      <c r="CU92" s="7"/>
      <c r="CV92" s="7"/>
      <c r="CW92" s="7"/>
    </row>
    <row r="93" spans="1:102" x14ac:dyDescent="0.2">
      <c r="B93" s="26"/>
      <c r="C93" s="26"/>
      <c r="D93" s="14"/>
      <c r="E93" s="14"/>
      <c r="F93" s="74"/>
      <c r="G93" s="74"/>
      <c r="H93" s="14"/>
      <c r="I93" s="14"/>
      <c r="J93" s="74"/>
      <c r="K93" s="74"/>
      <c r="L93" s="14"/>
      <c r="M93" s="14"/>
      <c r="N93" s="74"/>
      <c r="O93" s="74"/>
      <c r="P93" s="14"/>
      <c r="Q93" s="14"/>
      <c r="R93" s="74"/>
      <c r="S93" s="74"/>
      <c r="T93" s="14"/>
      <c r="U93" s="14"/>
      <c r="V93" s="74"/>
      <c r="W93" s="74"/>
      <c r="X93" s="14"/>
      <c r="Y93" s="14"/>
      <c r="Z93" s="74"/>
      <c r="AA93" s="14"/>
      <c r="AB93" s="14"/>
      <c r="AC93" s="74"/>
      <c r="AD93" s="74"/>
      <c r="AE93" s="14"/>
      <c r="AF93" s="14"/>
      <c r="AG93" s="74"/>
      <c r="AH93" s="74"/>
      <c r="AI93" s="14"/>
      <c r="AJ93" s="14"/>
      <c r="AK93" s="74"/>
      <c r="AL93" s="74"/>
      <c r="AM93" s="14"/>
      <c r="AN93" s="14"/>
      <c r="AO93" s="74"/>
      <c r="AP93" s="74"/>
      <c r="AQ93" s="14"/>
      <c r="AR93" s="14"/>
      <c r="AS93" s="74"/>
      <c r="AT93" s="74"/>
      <c r="AU93" s="14"/>
      <c r="AV93" s="14"/>
      <c r="AW93" s="74"/>
      <c r="AX93" s="74"/>
      <c r="AY93" s="14"/>
      <c r="AZ93" s="14"/>
      <c r="BA93" s="74"/>
      <c r="BB93" s="74"/>
      <c r="BC93" s="14"/>
      <c r="BD93" s="14"/>
      <c r="BE93" s="74"/>
      <c r="BF93" s="74"/>
      <c r="BG93" s="14"/>
      <c r="BH93" s="14"/>
      <c r="BI93" s="74"/>
      <c r="BJ93" s="74"/>
      <c r="BK93" s="14"/>
      <c r="BL93" s="7"/>
      <c r="BM93" s="26"/>
      <c r="BN93" s="26"/>
      <c r="BO93" s="7"/>
      <c r="BP93" s="7"/>
      <c r="BQ93" s="26"/>
      <c r="BR93" s="26"/>
      <c r="BS93" s="7"/>
      <c r="BT93" s="7"/>
      <c r="BU93" s="26"/>
      <c r="BV93" s="26"/>
      <c r="BW93" s="7"/>
      <c r="BX93" s="7"/>
      <c r="BY93" s="26"/>
      <c r="BZ93" s="7"/>
      <c r="CA93" s="7"/>
      <c r="CB93" s="26"/>
      <c r="CC93" s="7"/>
      <c r="CD93" s="7"/>
      <c r="CE93" s="26"/>
      <c r="CF93" s="7"/>
      <c r="CG93" s="7"/>
      <c r="CH93" s="26"/>
      <c r="CI93" s="7"/>
      <c r="CJ93" s="7"/>
      <c r="CK93" s="26"/>
      <c r="CL93" s="7"/>
      <c r="CM93" s="7"/>
      <c r="CN93" s="26"/>
      <c r="CO93" s="26"/>
      <c r="CP93" s="14"/>
      <c r="CQ93" s="7"/>
      <c r="CR93" s="7"/>
      <c r="CS93" s="7"/>
      <c r="CT93" s="7"/>
      <c r="CU93" s="7"/>
      <c r="CV93" s="7"/>
      <c r="CW93" s="7"/>
    </row>
    <row r="94" spans="1:102" x14ac:dyDescent="0.2">
      <c r="B94" s="26"/>
      <c r="C94" s="26"/>
      <c r="D94" s="14"/>
      <c r="E94" s="14"/>
      <c r="F94" s="74"/>
      <c r="G94" s="74"/>
      <c r="H94" s="14"/>
      <c r="I94" s="14"/>
      <c r="J94" s="74"/>
      <c r="K94" s="74"/>
      <c r="L94" s="14"/>
      <c r="M94" s="14"/>
      <c r="N94" s="74"/>
      <c r="O94" s="74"/>
      <c r="P94" s="14"/>
      <c r="Q94" s="14"/>
      <c r="R94" s="74"/>
      <c r="S94" s="74"/>
      <c r="T94" s="14"/>
      <c r="U94" s="14"/>
      <c r="V94" s="74"/>
      <c r="W94" s="74"/>
      <c r="X94" s="14"/>
      <c r="Y94" s="14"/>
      <c r="Z94" s="74"/>
      <c r="AA94" s="14"/>
      <c r="AB94" s="14"/>
      <c r="AC94" s="74"/>
      <c r="AD94" s="74"/>
      <c r="AE94" s="14"/>
      <c r="AF94" s="14"/>
      <c r="AG94" s="74"/>
      <c r="AH94" s="74"/>
      <c r="AI94" s="14"/>
      <c r="AJ94" s="14"/>
      <c r="AK94" s="74"/>
      <c r="AL94" s="74"/>
      <c r="AM94" s="14"/>
      <c r="AN94" s="14"/>
      <c r="AO94" s="74"/>
      <c r="AP94" s="74"/>
      <c r="AQ94" s="14"/>
      <c r="AR94" s="14"/>
      <c r="AS94" s="74"/>
      <c r="AT94" s="74"/>
      <c r="AU94" s="14"/>
      <c r="AV94" s="14"/>
      <c r="AW94" s="74"/>
      <c r="AX94" s="74"/>
      <c r="AY94" s="14"/>
      <c r="AZ94" s="14"/>
      <c r="BA94" s="74"/>
      <c r="BB94" s="74"/>
      <c r="BC94" s="14"/>
      <c r="BD94" s="14"/>
      <c r="BE94" s="74"/>
      <c r="BF94" s="74"/>
      <c r="BG94" s="14"/>
      <c r="BH94" s="14"/>
      <c r="BI94" s="74"/>
      <c r="BJ94" s="74"/>
      <c r="BK94" s="14"/>
      <c r="BL94" s="7"/>
      <c r="BM94" s="26"/>
      <c r="BN94" s="26"/>
      <c r="BO94" s="7"/>
      <c r="BP94" s="7"/>
      <c r="BQ94" s="26"/>
      <c r="BR94" s="26"/>
      <c r="BS94" s="7"/>
      <c r="BT94" s="7"/>
      <c r="BU94" s="26"/>
      <c r="BV94" s="26"/>
      <c r="BW94" s="7"/>
      <c r="BX94" s="7"/>
      <c r="BY94" s="26"/>
      <c r="BZ94" s="7"/>
      <c r="CA94" s="7"/>
      <c r="CB94" s="26"/>
      <c r="CC94" s="7"/>
      <c r="CD94" s="7"/>
      <c r="CE94" s="26"/>
      <c r="CF94" s="7"/>
      <c r="CG94" s="7"/>
      <c r="CH94" s="26"/>
      <c r="CI94" s="7"/>
      <c r="CJ94" s="7"/>
      <c r="CK94" s="26"/>
      <c r="CL94" s="7"/>
      <c r="CM94" s="7"/>
      <c r="CN94" s="26"/>
      <c r="CO94" s="26"/>
      <c r="CP94" s="14"/>
      <c r="CQ94" s="7"/>
      <c r="CR94" s="7"/>
      <c r="CS94" s="7"/>
      <c r="CT94" s="7"/>
      <c r="CU94" s="7"/>
      <c r="CV94" s="7"/>
      <c r="CW94" s="7"/>
    </row>
    <row r="95" spans="1:102" x14ac:dyDescent="0.2">
      <c r="B95" s="26"/>
      <c r="C95" s="26"/>
      <c r="D95" s="14"/>
      <c r="E95" s="14"/>
      <c r="F95" s="74"/>
      <c r="G95" s="74"/>
      <c r="H95" s="14"/>
      <c r="I95" s="14"/>
      <c r="J95" s="74"/>
      <c r="K95" s="74"/>
      <c r="L95" s="14"/>
      <c r="M95" s="14"/>
      <c r="N95" s="74"/>
      <c r="O95" s="74"/>
      <c r="P95" s="14"/>
      <c r="Q95" s="14"/>
      <c r="R95" s="74"/>
      <c r="S95" s="74"/>
      <c r="T95" s="14"/>
      <c r="U95" s="14"/>
      <c r="V95" s="74"/>
      <c r="W95" s="74"/>
      <c r="X95" s="14"/>
      <c r="Y95" s="14"/>
      <c r="Z95" s="74"/>
      <c r="AA95" s="14"/>
      <c r="AB95" s="14"/>
      <c r="AC95" s="74"/>
      <c r="AD95" s="74"/>
      <c r="AE95" s="14"/>
      <c r="AF95" s="14"/>
      <c r="AG95" s="74"/>
      <c r="AH95" s="74"/>
      <c r="AI95" s="14"/>
      <c r="AJ95" s="14"/>
      <c r="AK95" s="74"/>
      <c r="AL95" s="74"/>
      <c r="AM95" s="14"/>
      <c r="AN95" s="14"/>
      <c r="AO95" s="74"/>
      <c r="AP95" s="74"/>
      <c r="AQ95" s="14"/>
      <c r="AR95" s="14"/>
      <c r="AS95" s="74"/>
      <c r="AT95" s="74"/>
      <c r="AU95" s="14"/>
      <c r="AV95" s="14"/>
      <c r="AW95" s="74"/>
      <c r="AX95" s="74"/>
      <c r="AY95" s="14"/>
      <c r="AZ95" s="14"/>
      <c r="BA95" s="74"/>
      <c r="BB95" s="74"/>
      <c r="BC95" s="14"/>
      <c r="BD95" s="14"/>
      <c r="BE95" s="74"/>
      <c r="BF95" s="74"/>
      <c r="BG95" s="14"/>
      <c r="BH95" s="14"/>
      <c r="BI95" s="74"/>
      <c r="BJ95" s="74"/>
      <c r="BK95" s="14"/>
      <c r="BL95" s="7"/>
      <c r="BM95" s="26"/>
      <c r="BN95" s="26"/>
      <c r="BO95" s="7"/>
      <c r="BP95" s="7"/>
      <c r="BQ95" s="26"/>
      <c r="BR95" s="26"/>
      <c r="BS95" s="7"/>
      <c r="BT95" s="7"/>
      <c r="BU95" s="26"/>
      <c r="BV95" s="26"/>
      <c r="BW95" s="7"/>
      <c r="BX95" s="7"/>
      <c r="BY95" s="26"/>
      <c r="BZ95" s="7"/>
      <c r="CA95" s="7"/>
      <c r="CB95" s="26"/>
      <c r="CC95" s="7"/>
      <c r="CD95" s="7"/>
      <c r="CE95" s="26"/>
      <c r="CF95" s="7"/>
      <c r="CG95" s="7"/>
      <c r="CH95" s="26"/>
      <c r="CI95" s="7"/>
      <c r="CJ95" s="7"/>
      <c r="CK95" s="26"/>
      <c r="CL95" s="7"/>
      <c r="CM95" s="7"/>
      <c r="CN95" s="26"/>
      <c r="CO95" s="26"/>
      <c r="CP95" s="14"/>
      <c r="CQ95" s="7"/>
      <c r="CR95" s="7"/>
      <c r="CS95" s="7"/>
      <c r="CT95" s="7"/>
      <c r="CU95" s="7"/>
      <c r="CV95" s="7"/>
      <c r="CW95" s="7"/>
    </row>
    <row r="96" spans="1:102" x14ac:dyDescent="0.2">
      <c r="A96" s="8" t="s">
        <v>24</v>
      </c>
      <c r="B96" s="27"/>
      <c r="C96" s="27"/>
      <c r="D96" s="14"/>
      <c r="E96" s="14"/>
      <c r="F96" s="75"/>
      <c r="G96" s="75"/>
      <c r="H96" s="14"/>
      <c r="I96" s="14"/>
      <c r="J96" s="75"/>
      <c r="K96" s="75"/>
      <c r="L96" s="14"/>
      <c r="M96" s="14"/>
      <c r="N96" s="75"/>
      <c r="O96" s="75"/>
      <c r="P96" s="14"/>
      <c r="Q96" s="14"/>
      <c r="R96" s="75"/>
      <c r="S96" s="75"/>
      <c r="T96" s="14"/>
      <c r="U96" s="14"/>
      <c r="V96" s="75"/>
      <c r="W96" s="75"/>
      <c r="X96" s="14"/>
      <c r="Y96" s="14"/>
      <c r="Z96" s="75"/>
      <c r="AA96" s="14"/>
      <c r="AB96" s="14"/>
      <c r="AC96" s="75"/>
      <c r="AD96" s="75"/>
      <c r="AE96" s="14"/>
      <c r="AF96" s="14"/>
      <c r="AG96" s="75"/>
      <c r="AH96" s="75"/>
      <c r="AI96" s="14"/>
      <c r="AJ96" s="14"/>
      <c r="AK96" s="75"/>
      <c r="AL96" s="75"/>
      <c r="AM96" s="14"/>
      <c r="AN96" s="14"/>
      <c r="AO96" s="75"/>
      <c r="AP96" s="75"/>
      <c r="AQ96" s="14"/>
      <c r="AR96" s="14"/>
      <c r="AS96" s="75"/>
      <c r="AT96" s="75"/>
      <c r="AU96" s="14"/>
      <c r="AV96" s="14"/>
      <c r="AW96" s="75"/>
      <c r="AX96" s="75"/>
      <c r="AY96" s="14"/>
      <c r="AZ96" s="14"/>
      <c r="BA96" s="75"/>
      <c r="BB96" s="75"/>
      <c r="BC96" s="14"/>
      <c r="BD96" s="14"/>
      <c r="BE96" s="75"/>
      <c r="BF96" s="75"/>
      <c r="BG96" s="14"/>
      <c r="BH96" s="14"/>
      <c r="BI96" s="75"/>
      <c r="BJ96" s="75"/>
      <c r="BK96" s="14"/>
      <c r="BL96" s="7"/>
      <c r="BM96" s="27"/>
      <c r="BN96" s="27"/>
      <c r="BO96" s="7"/>
      <c r="BP96" s="7"/>
      <c r="BQ96" s="27"/>
      <c r="BR96" s="27"/>
      <c r="BS96" s="7"/>
      <c r="BT96" s="7"/>
      <c r="BU96" s="27"/>
      <c r="BV96" s="27"/>
      <c r="BW96" s="7"/>
      <c r="BX96" s="7"/>
      <c r="BY96" s="27"/>
      <c r="BZ96" s="7"/>
      <c r="CA96" s="7"/>
      <c r="CB96" s="27"/>
      <c r="CC96" s="7"/>
      <c r="CD96" s="7"/>
      <c r="CE96" s="27"/>
      <c r="CF96" s="7"/>
      <c r="CG96" s="7"/>
      <c r="CH96" s="27"/>
      <c r="CI96" s="7"/>
      <c r="CJ96" s="7"/>
      <c r="CK96" s="27"/>
      <c r="CL96" s="7"/>
      <c r="CM96" s="7"/>
      <c r="CN96" s="27"/>
      <c r="CO96" s="27"/>
      <c r="CP96" s="14"/>
      <c r="CQ96" s="7"/>
      <c r="CR96" s="7"/>
      <c r="CS96" s="7"/>
      <c r="CT96" s="7"/>
      <c r="CU96" s="7"/>
      <c r="CV96" s="7"/>
      <c r="CW96" s="7"/>
    </row>
    <row r="97" spans="1:102" x14ac:dyDescent="0.2">
      <c r="B97" s="26"/>
      <c r="C97" s="26"/>
      <c r="D97" s="14"/>
      <c r="E97" s="14"/>
      <c r="F97" s="74"/>
      <c r="G97" s="74"/>
      <c r="H97" s="14"/>
      <c r="I97" s="14"/>
      <c r="J97" s="74"/>
      <c r="K97" s="74"/>
      <c r="L97" s="14"/>
      <c r="M97" s="14"/>
      <c r="N97" s="74"/>
      <c r="O97" s="74"/>
      <c r="P97" s="14"/>
      <c r="Q97" s="14"/>
      <c r="R97" s="74"/>
      <c r="S97" s="74"/>
      <c r="T97" s="14"/>
      <c r="U97" s="14"/>
      <c r="V97" s="74"/>
      <c r="W97" s="74"/>
      <c r="X97" s="14"/>
      <c r="Y97" s="14"/>
      <c r="Z97" s="74"/>
      <c r="AA97" s="14"/>
      <c r="AB97" s="14"/>
      <c r="AC97" s="74"/>
      <c r="AD97" s="74"/>
      <c r="AE97" s="14"/>
      <c r="AF97" s="14"/>
      <c r="AG97" s="74"/>
      <c r="AH97" s="74"/>
      <c r="AI97" s="14"/>
      <c r="AJ97" s="14"/>
      <c r="AK97" s="74"/>
      <c r="AL97" s="74"/>
      <c r="AM97" s="14"/>
      <c r="AN97" s="14"/>
      <c r="AO97" s="74"/>
      <c r="AP97" s="74"/>
      <c r="AQ97" s="14"/>
      <c r="AR97" s="14"/>
      <c r="AS97" s="74"/>
      <c r="AT97" s="74"/>
      <c r="AU97" s="14"/>
      <c r="AV97" s="14"/>
      <c r="AW97" s="74"/>
      <c r="AX97" s="74"/>
      <c r="AY97" s="14"/>
      <c r="AZ97" s="14"/>
      <c r="BA97" s="74"/>
      <c r="BB97" s="74"/>
      <c r="BC97" s="14"/>
      <c r="BD97" s="14"/>
      <c r="BE97" s="74"/>
      <c r="BF97" s="74"/>
      <c r="BG97" s="14"/>
      <c r="BH97" s="14"/>
      <c r="BI97" s="74"/>
      <c r="BJ97" s="74"/>
      <c r="BK97" s="14"/>
      <c r="BL97" s="7"/>
      <c r="BM97" s="26"/>
      <c r="BN97" s="26"/>
      <c r="BO97" s="7"/>
      <c r="BP97" s="7"/>
      <c r="BQ97" s="26"/>
      <c r="BR97" s="26"/>
      <c r="BS97" s="7"/>
      <c r="BT97" s="7"/>
      <c r="BU97" s="26"/>
      <c r="BV97" s="26"/>
      <c r="BW97" s="7"/>
      <c r="BX97" s="7"/>
      <c r="BY97" s="26"/>
      <c r="BZ97" s="7"/>
      <c r="CA97" s="7"/>
      <c r="CB97" s="26"/>
      <c r="CC97" s="7"/>
      <c r="CD97" s="7"/>
      <c r="CE97" s="26"/>
      <c r="CF97" s="7"/>
      <c r="CG97" s="7"/>
      <c r="CH97" s="26"/>
      <c r="CI97" s="7"/>
      <c r="CJ97" s="7"/>
      <c r="CK97" s="26"/>
      <c r="CL97" s="7"/>
      <c r="CM97" s="7"/>
      <c r="CN97" s="26"/>
      <c r="CO97" s="26"/>
      <c r="CP97" s="14"/>
      <c r="CQ97" s="7"/>
      <c r="CR97" s="7"/>
      <c r="CS97" s="7"/>
      <c r="CT97" s="7"/>
      <c r="CU97" s="7"/>
      <c r="CV97" s="7"/>
      <c r="CW97" s="7"/>
    </row>
    <row r="98" spans="1:102" ht="18" customHeight="1" x14ac:dyDescent="0.2">
      <c r="A98" s="1"/>
      <c r="B98" s="348" t="s">
        <v>65</v>
      </c>
      <c r="C98" s="354"/>
      <c r="D98" s="349"/>
      <c r="F98" s="357" t="s">
        <v>128</v>
      </c>
      <c r="G98" s="358" t="s">
        <v>128</v>
      </c>
      <c r="H98" s="359" t="s">
        <v>128</v>
      </c>
      <c r="J98" s="357" t="s">
        <v>151</v>
      </c>
      <c r="K98" s="358"/>
      <c r="L98" s="359"/>
      <c r="N98" s="357" t="s">
        <v>162</v>
      </c>
      <c r="O98" s="358"/>
      <c r="P98" s="359"/>
      <c r="R98" s="357"/>
      <c r="S98" s="358"/>
      <c r="T98" s="359"/>
      <c r="V98" s="357"/>
      <c r="W98" s="358"/>
      <c r="X98" s="359"/>
      <c r="Z98" s="357"/>
      <c r="AA98" s="359"/>
      <c r="AC98" s="357"/>
      <c r="AD98" s="358"/>
      <c r="AE98" s="359"/>
      <c r="AG98" s="357"/>
      <c r="AH98" s="358"/>
      <c r="AI98" s="359"/>
      <c r="AK98" s="357"/>
      <c r="AL98" s="358"/>
      <c r="AM98" s="359"/>
      <c r="AO98" s="357"/>
      <c r="AP98" s="358"/>
      <c r="AQ98" s="359"/>
      <c r="AS98" s="357"/>
      <c r="AT98" s="358"/>
      <c r="AU98" s="359"/>
      <c r="AW98" s="357"/>
      <c r="AX98" s="358"/>
      <c r="AY98" s="359"/>
      <c r="BA98" s="357"/>
      <c r="BB98" s="358"/>
      <c r="BC98" s="359"/>
      <c r="BD98" s="76"/>
      <c r="BE98" s="357"/>
      <c r="BF98" s="358"/>
      <c r="BG98" s="359"/>
      <c r="BH98" s="76"/>
      <c r="BI98" s="357"/>
      <c r="BJ98" s="358"/>
      <c r="BK98" s="359"/>
      <c r="BL98" s="29"/>
      <c r="BM98" s="348"/>
      <c r="BN98" s="354"/>
      <c r="BO98" s="349"/>
      <c r="BP98" s="29"/>
      <c r="BQ98" s="348"/>
      <c r="BR98" s="354"/>
      <c r="BS98" s="349"/>
      <c r="BT98" s="29"/>
      <c r="BU98" s="348"/>
      <c r="BV98" s="354"/>
      <c r="BW98" s="349"/>
      <c r="BX98" s="29"/>
      <c r="BY98" s="348"/>
      <c r="BZ98" s="349"/>
      <c r="CA98" s="29"/>
      <c r="CB98" s="348"/>
      <c r="CC98" s="349"/>
      <c r="CD98" s="29"/>
      <c r="CE98" s="348"/>
      <c r="CF98" s="349"/>
      <c r="CG98" s="29"/>
      <c r="CH98" s="348"/>
      <c r="CI98" s="349"/>
      <c r="CJ98" s="29"/>
      <c r="CK98" s="348"/>
      <c r="CL98" s="349"/>
      <c r="CN98" s="348"/>
      <c r="CO98" s="354"/>
      <c r="CP98" s="349"/>
      <c r="CR98" s="29"/>
      <c r="CS98" s="29"/>
      <c r="CU98" s="29"/>
      <c r="CV98" s="29"/>
    </row>
    <row r="99" spans="1:102" ht="18" customHeight="1" x14ac:dyDescent="0.2">
      <c r="A99" s="1"/>
      <c r="B99" s="350"/>
      <c r="C99" s="355"/>
      <c r="D99" s="351"/>
      <c r="F99" s="360" t="s">
        <v>128</v>
      </c>
      <c r="G99" s="361" t="s">
        <v>128</v>
      </c>
      <c r="H99" s="362" t="s">
        <v>128</v>
      </c>
      <c r="J99" s="360"/>
      <c r="K99" s="361"/>
      <c r="L99" s="362"/>
      <c r="N99" s="360"/>
      <c r="O99" s="361"/>
      <c r="P99" s="362"/>
      <c r="R99" s="360"/>
      <c r="S99" s="361"/>
      <c r="T99" s="362"/>
      <c r="V99" s="360"/>
      <c r="W99" s="361"/>
      <c r="X99" s="362"/>
      <c r="Z99" s="360"/>
      <c r="AA99" s="362"/>
      <c r="AC99" s="360"/>
      <c r="AD99" s="361"/>
      <c r="AE99" s="362"/>
      <c r="AG99" s="360"/>
      <c r="AH99" s="361"/>
      <c r="AI99" s="362"/>
      <c r="AK99" s="360"/>
      <c r="AL99" s="361"/>
      <c r="AM99" s="362"/>
      <c r="AO99" s="360"/>
      <c r="AP99" s="361"/>
      <c r="AQ99" s="362"/>
      <c r="AS99" s="360"/>
      <c r="AT99" s="361"/>
      <c r="AU99" s="362"/>
      <c r="AW99" s="360"/>
      <c r="AX99" s="361"/>
      <c r="AY99" s="362"/>
      <c r="BA99" s="360"/>
      <c r="BB99" s="361"/>
      <c r="BC99" s="362"/>
      <c r="BD99" s="76"/>
      <c r="BE99" s="360"/>
      <c r="BF99" s="361"/>
      <c r="BG99" s="362"/>
      <c r="BH99" s="76"/>
      <c r="BI99" s="360"/>
      <c r="BJ99" s="361"/>
      <c r="BK99" s="362"/>
      <c r="BL99" s="29"/>
      <c r="BM99" s="350"/>
      <c r="BN99" s="355"/>
      <c r="BO99" s="351"/>
      <c r="BP99" s="29"/>
      <c r="BQ99" s="350"/>
      <c r="BR99" s="355"/>
      <c r="BS99" s="351"/>
      <c r="BT99" s="29"/>
      <c r="BU99" s="350"/>
      <c r="BV99" s="355"/>
      <c r="BW99" s="351"/>
      <c r="BX99" s="29"/>
      <c r="BY99" s="350"/>
      <c r="BZ99" s="351"/>
      <c r="CA99" s="29"/>
      <c r="CB99" s="350"/>
      <c r="CC99" s="351"/>
      <c r="CD99" s="29"/>
      <c r="CE99" s="350"/>
      <c r="CF99" s="351"/>
      <c r="CG99" s="29"/>
      <c r="CH99" s="350"/>
      <c r="CI99" s="351"/>
      <c r="CJ99" s="29"/>
      <c r="CK99" s="350"/>
      <c r="CL99" s="351"/>
      <c r="CN99" s="350"/>
      <c r="CO99" s="355"/>
      <c r="CP99" s="351"/>
      <c r="CR99" s="29"/>
      <c r="CS99" s="29"/>
      <c r="CU99" s="29"/>
      <c r="CV99" s="29"/>
      <c r="CX99" s="18"/>
    </row>
    <row r="100" spans="1:102" ht="18" customHeight="1" x14ac:dyDescent="0.2">
      <c r="A100" s="1"/>
      <c r="B100" s="352"/>
      <c r="C100" s="356"/>
      <c r="D100" s="353"/>
      <c r="F100" s="363" t="s">
        <v>128</v>
      </c>
      <c r="G100" s="364" t="s">
        <v>128</v>
      </c>
      <c r="H100" s="365" t="s">
        <v>128</v>
      </c>
      <c r="J100" s="363"/>
      <c r="K100" s="364"/>
      <c r="L100" s="365"/>
      <c r="N100" s="363"/>
      <c r="O100" s="364"/>
      <c r="P100" s="365"/>
      <c r="R100" s="363"/>
      <c r="S100" s="364"/>
      <c r="T100" s="365"/>
      <c r="V100" s="363"/>
      <c r="W100" s="364"/>
      <c r="X100" s="365"/>
      <c r="Z100" s="363"/>
      <c r="AA100" s="365"/>
      <c r="AC100" s="363"/>
      <c r="AD100" s="364"/>
      <c r="AE100" s="365"/>
      <c r="AG100" s="363"/>
      <c r="AH100" s="364"/>
      <c r="AI100" s="365"/>
      <c r="AK100" s="363"/>
      <c r="AL100" s="364"/>
      <c r="AM100" s="365"/>
      <c r="AO100" s="363"/>
      <c r="AP100" s="364"/>
      <c r="AQ100" s="365"/>
      <c r="AS100" s="363"/>
      <c r="AT100" s="364"/>
      <c r="AU100" s="365"/>
      <c r="AW100" s="363"/>
      <c r="AX100" s="364"/>
      <c r="AY100" s="365"/>
      <c r="BA100" s="363"/>
      <c r="BB100" s="364"/>
      <c r="BC100" s="365"/>
      <c r="BD100" s="76"/>
      <c r="BE100" s="363"/>
      <c r="BF100" s="364"/>
      <c r="BG100" s="365"/>
      <c r="BH100" s="76"/>
      <c r="BI100" s="363"/>
      <c r="BJ100" s="364"/>
      <c r="BK100" s="365"/>
      <c r="BL100" s="29"/>
      <c r="BM100" s="352"/>
      <c r="BN100" s="356"/>
      <c r="BO100" s="353"/>
      <c r="BP100" s="29"/>
      <c r="BQ100" s="352"/>
      <c r="BR100" s="356"/>
      <c r="BS100" s="353"/>
      <c r="BT100" s="29"/>
      <c r="BU100" s="352"/>
      <c r="BV100" s="356"/>
      <c r="BW100" s="353"/>
      <c r="BX100" s="29"/>
      <c r="BY100" s="352"/>
      <c r="BZ100" s="353"/>
      <c r="CA100" s="29"/>
      <c r="CB100" s="352"/>
      <c r="CC100" s="353"/>
      <c r="CD100" s="29"/>
      <c r="CE100" s="352"/>
      <c r="CF100" s="353"/>
      <c r="CG100" s="29"/>
      <c r="CH100" s="352"/>
      <c r="CI100" s="353"/>
      <c r="CJ100" s="29"/>
      <c r="CK100" s="352"/>
      <c r="CL100" s="353"/>
      <c r="CN100" s="352"/>
      <c r="CO100" s="356"/>
      <c r="CP100" s="353"/>
      <c r="CR100" s="29"/>
      <c r="CS100" s="29"/>
      <c r="CU100" s="29"/>
      <c r="CV100" s="29"/>
      <c r="CX100" s="18"/>
    </row>
    <row r="101" spans="1:102" x14ac:dyDescent="0.2">
      <c r="B101" s="26"/>
      <c r="C101" s="26"/>
      <c r="D101" s="14"/>
      <c r="E101" s="14"/>
      <c r="F101" s="74"/>
      <c r="G101" s="74"/>
      <c r="H101" s="14"/>
      <c r="I101" s="14"/>
      <c r="J101" s="74"/>
      <c r="K101" s="74"/>
      <c r="L101" s="14"/>
      <c r="M101" s="14"/>
      <c r="N101" s="74"/>
      <c r="O101" s="74"/>
      <c r="P101" s="14"/>
      <c r="Q101" s="14"/>
      <c r="R101" s="74"/>
      <c r="S101" s="74"/>
      <c r="T101" s="14"/>
      <c r="U101" s="14"/>
      <c r="V101" s="74"/>
      <c r="W101" s="74"/>
      <c r="X101" s="14"/>
      <c r="Y101" s="14"/>
      <c r="Z101" s="74"/>
      <c r="AA101" s="14"/>
      <c r="AB101" s="14"/>
      <c r="AC101" s="74"/>
      <c r="AD101" s="74"/>
      <c r="AE101" s="14"/>
      <c r="AF101" s="14"/>
      <c r="AG101" s="74"/>
      <c r="AH101" s="74"/>
      <c r="AI101" s="14"/>
      <c r="AJ101" s="14"/>
      <c r="AK101" s="74"/>
      <c r="AL101" s="74"/>
      <c r="AM101" s="14"/>
      <c r="AN101" s="14"/>
      <c r="AO101" s="74"/>
      <c r="AP101" s="74"/>
      <c r="AQ101" s="14"/>
      <c r="AR101" s="14"/>
      <c r="AS101" s="74"/>
      <c r="AT101" s="74"/>
      <c r="AU101" s="14"/>
      <c r="AV101" s="14"/>
      <c r="AW101" s="74"/>
      <c r="AX101" s="74"/>
      <c r="AY101" s="14"/>
      <c r="AZ101" s="14"/>
      <c r="BA101" s="74"/>
      <c r="BB101" s="74"/>
      <c r="BC101" s="14"/>
      <c r="BD101" s="14"/>
      <c r="BE101" s="74"/>
      <c r="BF101" s="74"/>
      <c r="BG101" s="14"/>
      <c r="BH101" s="14"/>
      <c r="BI101" s="74"/>
      <c r="BJ101" s="74"/>
      <c r="BK101" s="14"/>
      <c r="BL101" s="7"/>
      <c r="BM101" s="26"/>
      <c r="BN101" s="26"/>
      <c r="BO101" s="7"/>
      <c r="BP101" s="7"/>
      <c r="BQ101" s="26"/>
      <c r="BR101" s="26"/>
      <c r="BS101" s="7"/>
      <c r="BT101" s="7"/>
      <c r="BU101" s="26"/>
      <c r="BV101" s="26"/>
      <c r="BW101" s="7"/>
      <c r="BX101" s="7"/>
      <c r="BY101" s="26"/>
      <c r="BZ101" s="7"/>
      <c r="CA101" s="7"/>
      <c r="CB101" s="26"/>
      <c r="CC101" s="7"/>
      <c r="CD101" s="7"/>
      <c r="CE101" s="26"/>
      <c r="CF101" s="7"/>
      <c r="CG101" s="7"/>
      <c r="CH101" s="26"/>
      <c r="CI101" s="7"/>
      <c r="CJ101" s="7"/>
      <c r="CK101" s="26"/>
      <c r="CL101" s="7"/>
      <c r="CM101" s="7"/>
      <c r="CN101" s="26"/>
      <c r="CO101" s="26"/>
      <c r="CP101" s="14"/>
      <c r="CQ101" s="7"/>
      <c r="CR101" s="7"/>
      <c r="CS101" s="7"/>
      <c r="CT101" s="7"/>
      <c r="CU101" s="7"/>
      <c r="CV101" s="7"/>
      <c r="CW101" s="7"/>
    </row>
    <row r="102" spans="1:102" x14ac:dyDescent="0.2">
      <c r="A102" s="62" t="s">
        <v>160</v>
      </c>
      <c r="B102" s="24"/>
      <c r="C102" s="24"/>
      <c r="D102" s="14"/>
      <c r="E102" s="14"/>
      <c r="F102" s="25"/>
      <c r="G102" s="25"/>
      <c r="H102" s="14"/>
      <c r="I102" s="14"/>
      <c r="J102" s="25"/>
      <c r="K102" s="25"/>
      <c r="L102" s="14"/>
      <c r="M102" s="14"/>
      <c r="N102" s="25"/>
      <c r="O102" s="25"/>
      <c r="P102" s="14"/>
      <c r="Q102" s="14"/>
      <c r="R102" s="25"/>
      <c r="S102" s="25"/>
      <c r="T102" s="14"/>
      <c r="U102" s="14"/>
      <c r="V102" s="25"/>
      <c r="W102" s="25"/>
      <c r="X102" s="14"/>
      <c r="Y102" s="14"/>
      <c r="Z102" s="25"/>
      <c r="AA102" s="14"/>
      <c r="AB102" s="14"/>
      <c r="AC102" s="25"/>
      <c r="AD102" s="25"/>
      <c r="AE102" s="14"/>
      <c r="AF102" s="14"/>
      <c r="AG102" s="25"/>
      <c r="AH102" s="25"/>
      <c r="AI102" s="14"/>
      <c r="AJ102" s="14"/>
      <c r="AK102" s="25"/>
      <c r="AL102" s="25"/>
      <c r="AM102" s="14"/>
      <c r="AN102" s="14"/>
      <c r="AO102" s="25"/>
      <c r="AP102" s="25"/>
      <c r="AQ102" s="14"/>
      <c r="AR102" s="14"/>
      <c r="AS102" s="25"/>
      <c r="AT102" s="25"/>
      <c r="AU102" s="14"/>
      <c r="AV102" s="14"/>
      <c r="AW102" s="25"/>
      <c r="AX102" s="25"/>
      <c r="AY102" s="14"/>
      <c r="AZ102" s="14"/>
      <c r="BA102" s="25"/>
      <c r="BB102" s="25"/>
      <c r="BC102" s="14"/>
      <c r="BD102" s="14"/>
      <c r="BE102" s="25"/>
      <c r="BF102" s="25"/>
      <c r="BG102" s="14"/>
      <c r="BH102" s="14"/>
      <c r="BI102" s="25"/>
      <c r="BJ102" s="25"/>
      <c r="BK102" s="14"/>
      <c r="BL102" s="7"/>
      <c r="BM102" s="24"/>
      <c r="BN102" s="24"/>
      <c r="BO102" s="7"/>
      <c r="BP102" s="7"/>
      <c r="BQ102" s="24"/>
      <c r="BR102" s="24"/>
      <c r="BS102" s="7"/>
      <c r="BT102" s="7"/>
      <c r="BU102" s="24"/>
      <c r="BV102" s="24"/>
      <c r="BW102" s="7"/>
      <c r="BX102" s="7"/>
      <c r="BY102" s="24"/>
      <c r="BZ102" s="7"/>
      <c r="CA102" s="7"/>
      <c r="CB102" s="24"/>
      <c r="CC102" s="7"/>
      <c r="CD102" s="7"/>
      <c r="CE102" s="24"/>
      <c r="CF102" s="7"/>
      <c r="CG102" s="7"/>
      <c r="CH102" s="24"/>
      <c r="CI102" s="7"/>
      <c r="CJ102" s="7"/>
      <c r="CK102" s="24"/>
      <c r="CL102" s="7"/>
      <c r="CM102" s="7"/>
      <c r="CN102" s="24"/>
      <c r="CO102" s="24"/>
      <c r="CP102" s="14"/>
      <c r="CQ102" s="7"/>
      <c r="CR102" s="7"/>
      <c r="CS102" s="7"/>
      <c r="CT102" s="7"/>
      <c r="CU102" s="7"/>
      <c r="CV102" s="7"/>
      <c r="CW102" s="7"/>
      <c r="CX102" s="31">
        <f>SUM(D102,H102,L102,P102,T102,X102,AA102,AE102,AI102,AM102,AQ102,BC102,BG102,BK102,BO102,BS102,BW102,BZ102,AU102,AY102,CC102,CF102)</f>
        <v>0</v>
      </c>
    </row>
    <row r="103" spans="1:102" x14ac:dyDescent="0.2">
      <c r="A103" s="10" t="s">
        <v>21</v>
      </c>
      <c r="B103" s="24"/>
      <c r="C103" s="24"/>
      <c r="D103" s="14"/>
      <c r="E103" s="14"/>
      <c r="F103" s="25"/>
      <c r="G103" s="25"/>
      <c r="H103" s="14"/>
      <c r="I103" s="14"/>
      <c r="J103" s="25"/>
      <c r="K103" s="25"/>
      <c r="L103" s="14"/>
      <c r="M103" s="14"/>
      <c r="N103" s="25"/>
      <c r="O103" s="25"/>
      <c r="P103" s="14"/>
      <c r="Q103" s="14"/>
      <c r="R103" s="25"/>
      <c r="S103" s="25"/>
      <c r="T103" s="14"/>
      <c r="U103" s="14"/>
      <c r="V103" s="25"/>
      <c r="W103" s="25"/>
      <c r="X103" s="14"/>
      <c r="Y103" s="14"/>
      <c r="Z103" s="25"/>
      <c r="AA103" s="14"/>
      <c r="AB103" s="14"/>
      <c r="AC103" s="25"/>
      <c r="AD103" s="25"/>
      <c r="AE103" s="14"/>
      <c r="AF103" s="14"/>
      <c r="AG103" s="25"/>
      <c r="AH103" s="25"/>
      <c r="AI103" s="14"/>
      <c r="AJ103" s="14"/>
      <c r="AK103" s="25"/>
      <c r="AL103" s="25"/>
      <c r="AM103" s="14"/>
      <c r="AN103" s="14"/>
      <c r="AO103" s="25"/>
      <c r="AP103" s="25"/>
      <c r="AQ103" s="14"/>
      <c r="AR103" s="14"/>
      <c r="AS103" s="25"/>
      <c r="AT103" s="25"/>
      <c r="AU103" s="14"/>
      <c r="AV103" s="14"/>
      <c r="AW103" s="25"/>
      <c r="AX103" s="25"/>
      <c r="AY103" s="14"/>
      <c r="AZ103" s="14"/>
      <c r="BA103" s="25"/>
      <c r="BB103" s="25"/>
      <c r="BC103" s="14"/>
      <c r="BD103" s="14"/>
      <c r="BE103" s="25"/>
      <c r="BF103" s="25"/>
      <c r="BG103" s="14"/>
      <c r="BH103" s="14"/>
      <c r="BI103" s="25"/>
      <c r="BJ103" s="25"/>
      <c r="BK103" s="14"/>
      <c r="BL103" s="7"/>
      <c r="BM103" s="24"/>
      <c r="BN103" s="24"/>
      <c r="BO103" s="7"/>
      <c r="BP103" s="7"/>
      <c r="BQ103" s="24"/>
      <c r="BR103" s="24"/>
      <c r="BS103" s="7"/>
      <c r="BT103" s="7"/>
      <c r="BU103" s="24"/>
      <c r="BV103" s="24"/>
      <c r="BW103" s="7"/>
      <c r="BX103" s="7"/>
      <c r="BY103" s="24"/>
      <c r="BZ103" s="7"/>
      <c r="CA103" s="7"/>
      <c r="CB103" s="24"/>
      <c r="CC103" s="7"/>
      <c r="CD103" s="7"/>
      <c r="CE103" s="24"/>
      <c r="CF103" s="7"/>
      <c r="CG103" s="7"/>
      <c r="CH103" s="24"/>
      <c r="CI103" s="7"/>
      <c r="CJ103" s="7"/>
      <c r="CK103" s="24"/>
      <c r="CL103" s="7"/>
      <c r="CM103" s="7"/>
      <c r="CN103" s="24"/>
      <c r="CO103" s="24"/>
      <c r="CP103" s="14"/>
      <c r="CQ103" s="7"/>
      <c r="CR103" s="7"/>
      <c r="CS103" s="7"/>
      <c r="CT103" s="7"/>
      <c r="CU103" s="7"/>
      <c r="CV103" s="7"/>
      <c r="CW103" s="7"/>
      <c r="CX103" s="31">
        <f>SUM(D103,H103,L103,P103,T103,X103,AA103,AE103,AI103,AM103,AQ103,BC103,BG103,BK103,BO103,BS103,BW103,BZ103,AU103,AY103,CC103,CF103)</f>
        <v>0</v>
      </c>
    </row>
    <row r="105" spans="1:102" x14ac:dyDescent="0.2">
      <c r="A105" s="10" t="s">
        <v>23</v>
      </c>
      <c r="B105" s="24"/>
      <c r="C105" s="24"/>
      <c r="D105" s="14"/>
      <c r="E105" s="14"/>
      <c r="F105" s="25"/>
      <c r="G105" s="25"/>
      <c r="H105" s="14"/>
      <c r="I105" s="14"/>
      <c r="J105" s="25"/>
      <c r="K105" s="25"/>
      <c r="L105" s="14"/>
      <c r="M105" s="14"/>
      <c r="N105" s="25"/>
      <c r="O105" s="25"/>
      <c r="P105" s="14"/>
      <c r="Q105" s="14"/>
      <c r="R105" s="25"/>
      <c r="S105" s="25"/>
      <c r="T105" s="14"/>
      <c r="U105" s="14"/>
      <c r="V105" s="25"/>
      <c r="W105" s="25"/>
      <c r="X105" s="14"/>
      <c r="Y105" s="14"/>
      <c r="Z105" s="25"/>
      <c r="AA105" s="14"/>
      <c r="AB105" s="14"/>
      <c r="AC105" s="25"/>
      <c r="AD105" s="25"/>
      <c r="AE105" s="14"/>
      <c r="AF105" s="14"/>
      <c r="AG105" s="25"/>
      <c r="AH105" s="25"/>
      <c r="AI105" s="14"/>
      <c r="AJ105" s="14"/>
      <c r="AK105" s="25"/>
      <c r="AL105" s="25"/>
      <c r="AM105" s="14"/>
      <c r="AN105" s="14"/>
      <c r="AO105" s="25"/>
      <c r="AP105" s="25"/>
      <c r="AQ105" s="14"/>
      <c r="AR105" s="14"/>
      <c r="AS105" s="25"/>
      <c r="AT105" s="25"/>
      <c r="AU105" s="14"/>
      <c r="AV105" s="14"/>
      <c r="AW105" s="25"/>
      <c r="AX105" s="25"/>
      <c r="AY105" s="14"/>
      <c r="AZ105" s="14"/>
      <c r="BA105" s="25"/>
      <c r="BB105" s="25"/>
      <c r="BC105" s="14"/>
      <c r="BD105" s="14"/>
      <c r="BE105" s="25"/>
      <c r="BF105" s="25"/>
      <c r="BG105" s="14"/>
      <c r="BH105" s="14"/>
      <c r="BI105" s="25"/>
      <c r="BJ105" s="25"/>
      <c r="BK105" s="14"/>
      <c r="BL105" s="7"/>
      <c r="BM105" s="24"/>
      <c r="BN105" s="24"/>
      <c r="BO105" s="7"/>
      <c r="BP105" s="7"/>
      <c r="BQ105" s="24"/>
      <c r="BR105" s="24"/>
      <c r="BS105" s="7"/>
      <c r="BT105" s="7"/>
      <c r="BU105" s="24"/>
      <c r="BV105" s="24"/>
      <c r="BW105" s="7"/>
      <c r="BX105" s="7"/>
      <c r="BY105" s="24"/>
      <c r="BZ105" s="7"/>
      <c r="CA105" s="7"/>
      <c r="CB105" s="24"/>
      <c r="CC105" s="7"/>
      <c r="CD105" s="7"/>
      <c r="CE105" s="24"/>
      <c r="CF105" s="7"/>
      <c r="CG105" s="7"/>
      <c r="CH105" s="24"/>
      <c r="CI105" s="7"/>
      <c r="CJ105" s="7"/>
      <c r="CK105" s="24"/>
      <c r="CL105" s="7"/>
      <c r="CM105" s="7"/>
      <c r="CN105" s="24"/>
      <c r="CO105" s="24"/>
      <c r="CP105" s="14"/>
      <c r="CQ105" s="7"/>
      <c r="CR105" s="7"/>
      <c r="CS105" s="7"/>
      <c r="CT105" s="7"/>
      <c r="CU105" s="7"/>
      <c r="CV105" s="7"/>
      <c r="CW105" s="7"/>
      <c r="CX105" s="31">
        <f>SUM(D105,H105,L105,P105,T105,X105,AA105,AE105,AI105,AM105,AQ105,BC105,BG105,BK105,BO105,BS105,BW105,BZ105,AU105,AY105,CC105,CF105)</f>
        <v>0</v>
      </c>
    </row>
    <row r="107" spans="1:102" x14ac:dyDescent="0.2">
      <c r="A107" s="10"/>
      <c r="B107" s="24"/>
      <c r="C107" s="24"/>
      <c r="D107" s="14"/>
      <c r="E107" s="14"/>
      <c r="F107" s="25"/>
      <c r="G107" s="25"/>
      <c r="H107" s="14"/>
      <c r="I107" s="14"/>
      <c r="J107" s="25"/>
      <c r="K107" s="25"/>
      <c r="L107" s="14"/>
      <c r="M107" s="14"/>
      <c r="N107" s="25"/>
      <c r="O107" s="25"/>
      <c r="P107" s="14"/>
      <c r="Q107" s="14"/>
      <c r="R107" s="25"/>
      <c r="S107" s="25"/>
      <c r="T107" s="14"/>
      <c r="U107" s="14"/>
      <c r="V107" s="25"/>
      <c r="W107" s="25"/>
      <c r="X107" s="14"/>
      <c r="Y107" s="14"/>
      <c r="Z107" s="25"/>
      <c r="AA107" s="14"/>
      <c r="AB107" s="14"/>
      <c r="AC107" s="25"/>
      <c r="AD107" s="25"/>
      <c r="AE107" s="14"/>
      <c r="AF107" s="14"/>
      <c r="AG107" s="25"/>
      <c r="AH107" s="25"/>
      <c r="AI107" s="14"/>
      <c r="AJ107" s="14"/>
      <c r="AK107" s="25"/>
      <c r="AL107" s="25"/>
      <c r="AM107" s="14"/>
      <c r="AN107" s="14"/>
      <c r="AO107" s="25"/>
      <c r="AP107" s="25"/>
      <c r="AQ107" s="14"/>
      <c r="AR107" s="14"/>
      <c r="AS107" s="25"/>
      <c r="AT107" s="25"/>
      <c r="AU107" s="14"/>
      <c r="AV107" s="14"/>
      <c r="AW107" s="25"/>
      <c r="AX107" s="25"/>
      <c r="AY107" s="14"/>
      <c r="AZ107" s="14"/>
      <c r="BA107" s="25"/>
      <c r="BB107" s="25"/>
      <c r="BC107" s="14"/>
      <c r="BD107" s="14"/>
      <c r="BE107" s="25"/>
      <c r="BF107" s="25"/>
      <c r="BG107" s="14"/>
      <c r="BH107" s="14"/>
      <c r="BI107" s="25"/>
      <c r="BJ107" s="25"/>
      <c r="BK107" s="14"/>
      <c r="BL107" s="7"/>
      <c r="BM107" s="24"/>
      <c r="BN107" s="24"/>
      <c r="BO107" s="7"/>
      <c r="BP107" s="7"/>
      <c r="BQ107" s="24"/>
      <c r="BR107" s="24"/>
      <c r="BS107" s="7"/>
      <c r="BT107" s="7"/>
      <c r="BU107" s="24"/>
      <c r="BV107" s="24"/>
      <c r="BW107" s="7"/>
      <c r="BX107" s="7"/>
      <c r="BY107" s="24"/>
      <c r="BZ107" s="7"/>
      <c r="CA107" s="7"/>
      <c r="CB107" s="24"/>
      <c r="CC107" s="7"/>
      <c r="CD107" s="7"/>
      <c r="CE107" s="24"/>
      <c r="CF107" s="7"/>
      <c r="CG107" s="7"/>
      <c r="CH107" s="24"/>
      <c r="CI107" s="7"/>
      <c r="CJ107" s="7"/>
      <c r="CK107" s="24"/>
      <c r="CL107" s="7"/>
      <c r="CM107" s="7"/>
      <c r="CN107" s="24"/>
      <c r="CO107" s="24"/>
      <c r="CP107" s="14"/>
      <c r="CQ107" s="7"/>
      <c r="CR107" s="7"/>
      <c r="CS107" s="7"/>
      <c r="CT107" s="7"/>
      <c r="CU107" s="7"/>
      <c r="CV107" s="7"/>
      <c r="CW107" s="7"/>
      <c r="CX107" s="31"/>
    </row>
    <row r="108" spans="1:102" x14ac:dyDescent="0.2">
      <c r="A108" s="10"/>
      <c r="B108" s="24"/>
      <c r="C108" s="24"/>
      <c r="D108" s="14"/>
      <c r="E108" s="14"/>
      <c r="F108" s="25"/>
      <c r="G108" s="25"/>
      <c r="H108" s="14"/>
      <c r="I108" s="14"/>
      <c r="J108" s="25"/>
      <c r="K108" s="25"/>
      <c r="L108" s="14"/>
      <c r="M108" s="14"/>
      <c r="N108" s="25"/>
      <c r="O108" s="25"/>
      <c r="P108" s="14"/>
      <c r="Q108" s="14"/>
      <c r="R108" s="25"/>
      <c r="S108" s="25"/>
      <c r="T108" s="14"/>
      <c r="U108" s="14"/>
      <c r="V108" s="25"/>
      <c r="W108" s="25"/>
      <c r="X108" s="14"/>
      <c r="Y108" s="14"/>
      <c r="Z108" s="25"/>
      <c r="AA108" s="14"/>
      <c r="AB108" s="14"/>
      <c r="AC108" s="25"/>
      <c r="AD108" s="25"/>
      <c r="AE108" s="14"/>
      <c r="AF108" s="14"/>
      <c r="AG108" s="25"/>
      <c r="AH108" s="25"/>
      <c r="AI108" s="14"/>
      <c r="AJ108" s="14"/>
      <c r="AK108" s="25"/>
      <c r="AL108" s="25"/>
      <c r="AM108" s="14"/>
      <c r="AN108" s="14"/>
      <c r="AO108" s="25"/>
      <c r="AP108" s="25"/>
      <c r="AQ108" s="14"/>
      <c r="AR108" s="14"/>
      <c r="AS108" s="25"/>
      <c r="AT108" s="25"/>
      <c r="AU108" s="14"/>
      <c r="AV108" s="14"/>
      <c r="AW108" s="25"/>
      <c r="AX108" s="25"/>
      <c r="AY108" s="14"/>
      <c r="AZ108" s="14"/>
      <c r="BA108" s="25"/>
      <c r="BB108" s="25"/>
      <c r="BC108" s="14"/>
      <c r="BD108" s="14"/>
      <c r="BE108" s="25"/>
      <c r="BF108" s="25"/>
      <c r="BG108" s="14"/>
      <c r="BH108" s="14"/>
      <c r="BI108" s="25"/>
      <c r="BJ108" s="25"/>
      <c r="BK108" s="14"/>
      <c r="BL108" s="7"/>
      <c r="BM108" s="24"/>
      <c r="BN108" s="24"/>
      <c r="BO108" s="7"/>
      <c r="BP108" s="7"/>
      <c r="BQ108" s="24"/>
      <c r="BR108" s="24"/>
      <c r="BS108" s="7"/>
      <c r="BT108" s="7"/>
      <c r="BU108" s="24"/>
      <c r="BV108" s="24"/>
      <c r="BW108" s="7"/>
      <c r="BX108" s="7"/>
      <c r="BY108" s="24"/>
      <c r="BZ108" s="7"/>
      <c r="CA108" s="7"/>
      <c r="CB108" s="24"/>
      <c r="CC108" s="7"/>
      <c r="CD108" s="7"/>
      <c r="CE108" s="24"/>
      <c r="CF108" s="7"/>
      <c r="CG108" s="7"/>
      <c r="CH108" s="24"/>
      <c r="CI108" s="7"/>
      <c r="CJ108" s="7"/>
      <c r="CK108" s="24"/>
      <c r="CL108" s="7"/>
      <c r="CM108" s="7"/>
      <c r="CN108" s="24"/>
      <c r="CO108" s="24"/>
      <c r="CP108" s="14"/>
      <c r="CQ108" s="7"/>
      <c r="CR108" s="7"/>
      <c r="CS108" s="7"/>
      <c r="CT108" s="7"/>
      <c r="CU108" s="7"/>
      <c r="CV108" s="7"/>
      <c r="CW108" s="7"/>
      <c r="CX108" s="31"/>
    </row>
    <row r="109" spans="1:102" x14ac:dyDescent="0.2">
      <c r="A109" s="10" t="s">
        <v>22</v>
      </c>
      <c r="B109" s="24"/>
      <c r="C109" s="24"/>
      <c r="D109" s="14"/>
      <c r="E109" s="14"/>
      <c r="F109" s="25"/>
      <c r="G109" s="25"/>
      <c r="H109" s="14"/>
      <c r="I109" s="14"/>
      <c r="J109" s="25"/>
      <c r="K109" s="25"/>
      <c r="L109" s="14"/>
      <c r="M109" s="14"/>
      <c r="N109" s="25"/>
      <c r="O109" s="25"/>
      <c r="P109" s="14"/>
      <c r="Q109" s="14"/>
      <c r="R109" s="25"/>
      <c r="S109" s="25"/>
      <c r="T109" s="14"/>
      <c r="U109" s="14"/>
      <c r="V109" s="25"/>
      <c r="W109" s="25"/>
      <c r="X109" s="14"/>
      <c r="Y109" s="14"/>
      <c r="Z109" s="25"/>
      <c r="AA109" s="14"/>
      <c r="AB109" s="14"/>
      <c r="AC109" s="25"/>
      <c r="AD109" s="25"/>
      <c r="AE109" s="14"/>
      <c r="AF109" s="14"/>
      <c r="AG109" s="25"/>
      <c r="AH109" s="25"/>
      <c r="AI109" s="14"/>
      <c r="AJ109" s="14"/>
      <c r="AK109" s="25"/>
      <c r="AL109" s="25"/>
      <c r="AM109" s="14"/>
      <c r="AN109" s="14"/>
      <c r="AO109" s="25"/>
      <c r="AP109" s="25"/>
      <c r="AQ109" s="14"/>
      <c r="AR109" s="14"/>
      <c r="AS109" s="25"/>
      <c r="AT109" s="25"/>
      <c r="AU109" s="14"/>
      <c r="AV109" s="14"/>
      <c r="AW109" s="25"/>
      <c r="AX109" s="25"/>
      <c r="AY109" s="14"/>
      <c r="AZ109" s="14"/>
      <c r="BA109" s="25"/>
      <c r="BB109" s="25"/>
      <c r="BC109" s="14"/>
      <c r="BD109" s="14"/>
      <c r="BE109" s="25"/>
      <c r="BF109" s="25"/>
      <c r="BG109" s="14"/>
      <c r="BH109" s="14"/>
      <c r="BI109" s="25"/>
      <c r="BJ109" s="25"/>
      <c r="BK109" s="14"/>
      <c r="BL109" s="7"/>
      <c r="BM109" s="24"/>
      <c r="BN109" s="24"/>
      <c r="BO109" s="7"/>
      <c r="BP109" s="7"/>
      <c r="BQ109" s="24"/>
      <c r="BR109" s="24"/>
      <c r="BS109" s="7"/>
      <c r="BT109" s="7"/>
      <c r="BU109" s="24"/>
      <c r="BV109" s="24"/>
      <c r="BW109" s="7"/>
      <c r="BX109" s="7"/>
      <c r="BY109" s="24"/>
      <c r="BZ109" s="7"/>
      <c r="CA109" s="7"/>
      <c r="CB109" s="24"/>
      <c r="CC109" s="7"/>
      <c r="CD109" s="7"/>
      <c r="CE109" s="24"/>
      <c r="CF109" s="7"/>
      <c r="CG109" s="7"/>
      <c r="CH109" s="24"/>
      <c r="CI109" s="7"/>
      <c r="CJ109" s="7"/>
      <c r="CK109" s="24"/>
      <c r="CL109" s="7"/>
      <c r="CM109" s="7"/>
      <c r="CN109" s="24"/>
      <c r="CO109" s="24"/>
      <c r="CP109" s="14"/>
      <c r="CQ109" s="7"/>
      <c r="CR109" s="7"/>
      <c r="CS109" s="7"/>
      <c r="CT109" s="7"/>
      <c r="CU109" s="7"/>
      <c r="CV109" s="7"/>
      <c r="CW109" s="7"/>
      <c r="CX109" s="31">
        <f>SUM(D109,H109,L109,P109,T109,X109,AA109,AE109,AI109,AM109,AQ109,BC109,BG109,BK109,BO109,BS109,BW109,BZ109,AU109,AY109,CC109,CF109)</f>
        <v>0</v>
      </c>
    </row>
    <row r="110" spans="1:102" x14ac:dyDescent="0.2">
      <c r="A110" s="10"/>
      <c r="B110" s="49"/>
      <c r="C110" s="24"/>
      <c r="D110" s="14"/>
      <c r="E110" s="14"/>
      <c r="F110" s="25"/>
      <c r="G110" s="25"/>
      <c r="H110" s="14"/>
      <c r="I110" s="14"/>
      <c r="J110" s="25"/>
      <c r="K110" s="25"/>
      <c r="L110" s="14"/>
      <c r="M110" s="14"/>
      <c r="N110" s="25"/>
      <c r="O110" s="25"/>
      <c r="P110" s="14"/>
      <c r="Q110" s="14"/>
      <c r="R110" s="25"/>
      <c r="S110" s="25"/>
      <c r="T110" s="14"/>
      <c r="U110" s="14"/>
      <c r="V110" s="25"/>
      <c r="W110" s="25"/>
      <c r="X110" s="14"/>
      <c r="Y110" s="14"/>
      <c r="Z110" s="25"/>
      <c r="AA110" s="14"/>
      <c r="AB110" s="14"/>
      <c r="AC110" s="25"/>
      <c r="AD110" s="25"/>
      <c r="AE110" s="14"/>
      <c r="AF110" s="14"/>
      <c r="AG110" s="25"/>
      <c r="AH110" s="25"/>
      <c r="AI110" s="14"/>
      <c r="AJ110" s="14"/>
      <c r="AK110" s="25"/>
      <c r="AL110" s="25"/>
      <c r="AM110" s="14"/>
      <c r="AN110" s="14"/>
      <c r="AO110" s="25"/>
      <c r="AP110" s="25"/>
      <c r="AQ110" s="14"/>
      <c r="AR110" s="14"/>
      <c r="AS110" s="25"/>
      <c r="AT110" s="25"/>
      <c r="AU110" s="14"/>
      <c r="AV110" s="14"/>
      <c r="AW110" s="25"/>
      <c r="AX110" s="25"/>
      <c r="AY110" s="14"/>
      <c r="AZ110" s="14"/>
      <c r="BA110" s="25"/>
      <c r="BB110" s="25"/>
      <c r="BC110" s="14"/>
      <c r="BD110" s="14"/>
      <c r="BE110" s="25"/>
      <c r="BF110" s="25"/>
      <c r="BG110" s="14"/>
      <c r="BH110" s="14"/>
      <c r="BI110" s="25"/>
      <c r="BJ110" s="25"/>
      <c r="BK110" s="14"/>
      <c r="BL110" s="7"/>
      <c r="BM110" s="24"/>
      <c r="BN110" s="24"/>
      <c r="BO110" s="7"/>
      <c r="BP110" s="7"/>
      <c r="BQ110" s="24"/>
      <c r="BR110" s="24"/>
      <c r="BS110" s="7"/>
      <c r="BT110" s="7"/>
      <c r="BU110" s="24"/>
      <c r="BV110" s="24"/>
      <c r="BW110" s="7"/>
      <c r="BX110" s="7"/>
      <c r="BY110" s="24"/>
      <c r="BZ110" s="7"/>
      <c r="CA110" s="7"/>
      <c r="CB110" s="24"/>
      <c r="CC110" s="7"/>
      <c r="CD110" s="7"/>
      <c r="CE110" s="24"/>
      <c r="CF110" s="7"/>
      <c r="CG110" s="7"/>
      <c r="CH110" s="24"/>
      <c r="CI110" s="7"/>
      <c r="CJ110" s="7"/>
      <c r="CK110" s="24"/>
      <c r="CL110" s="7"/>
      <c r="CM110" s="7"/>
      <c r="CN110" s="24"/>
      <c r="CO110" s="24"/>
      <c r="CP110" s="14"/>
      <c r="CQ110" s="7"/>
      <c r="CR110" s="7"/>
      <c r="CS110" s="7"/>
      <c r="CT110" s="7"/>
      <c r="CU110" s="7"/>
      <c r="CV110" s="7"/>
      <c r="CW110" s="7"/>
      <c r="CX110" s="31"/>
    </row>
    <row r="112" spans="1:102" x14ac:dyDescent="0.2">
      <c r="A112" s="10" t="s">
        <v>72</v>
      </c>
      <c r="B112" s="24" t="s">
        <v>145</v>
      </c>
      <c r="C112" s="24"/>
      <c r="D112" s="14">
        <v>250</v>
      </c>
      <c r="E112" s="14"/>
      <c r="F112" s="25"/>
      <c r="G112" s="25"/>
      <c r="H112" s="14"/>
      <c r="I112" s="14"/>
      <c r="J112" s="25"/>
      <c r="K112" s="25"/>
      <c r="L112" s="14"/>
      <c r="M112" s="14"/>
      <c r="N112" s="25"/>
      <c r="O112" s="25"/>
      <c r="P112" s="14"/>
      <c r="Q112" s="14"/>
      <c r="R112" s="25"/>
      <c r="S112" s="25"/>
      <c r="T112" s="14"/>
      <c r="U112" s="14"/>
      <c r="V112" s="25"/>
      <c r="W112" s="25"/>
      <c r="X112" s="14"/>
      <c r="Y112" s="14"/>
      <c r="Z112" s="25"/>
      <c r="AA112" s="14"/>
      <c r="AB112" s="14"/>
      <c r="AC112" s="25"/>
      <c r="AD112" s="25"/>
      <c r="AE112" s="14"/>
      <c r="AF112" s="14"/>
      <c r="AG112" s="25"/>
      <c r="AH112" s="25"/>
      <c r="AI112" s="14"/>
      <c r="AJ112" s="14"/>
      <c r="AK112" s="25"/>
      <c r="AL112" s="25"/>
      <c r="AM112" s="14"/>
      <c r="AN112" s="14"/>
      <c r="AO112" s="25"/>
      <c r="AP112" s="25"/>
      <c r="AQ112" s="14"/>
      <c r="AR112" s="14"/>
      <c r="AS112" s="25"/>
      <c r="AT112" s="25"/>
      <c r="AU112" s="14"/>
      <c r="AV112" s="14"/>
      <c r="AW112" s="25"/>
      <c r="AX112" s="25"/>
      <c r="AY112" s="14"/>
      <c r="AZ112" s="14"/>
      <c r="BA112" s="25"/>
      <c r="BB112" s="25"/>
      <c r="BC112" s="14"/>
      <c r="BD112" s="14"/>
      <c r="BE112" s="25"/>
      <c r="BF112" s="25"/>
      <c r="BG112" s="14"/>
      <c r="BH112" s="14"/>
      <c r="BI112" s="25"/>
      <c r="BJ112" s="25"/>
      <c r="BK112" s="14"/>
      <c r="BL112" s="7"/>
      <c r="BM112" s="24"/>
      <c r="BN112" s="24"/>
      <c r="BO112" s="7"/>
      <c r="BP112" s="7"/>
      <c r="BQ112" s="24"/>
      <c r="BR112" s="24"/>
      <c r="BS112" s="7"/>
      <c r="BT112" s="7"/>
      <c r="BU112" s="24"/>
      <c r="BV112" s="24"/>
      <c r="BW112" s="7"/>
      <c r="BX112" s="7"/>
      <c r="BY112" s="24"/>
      <c r="BZ112" s="7"/>
      <c r="CA112" s="7"/>
      <c r="CB112" s="24"/>
      <c r="CC112" s="7"/>
      <c r="CD112" s="7"/>
      <c r="CE112" s="24"/>
      <c r="CF112" s="7"/>
      <c r="CG112" s="7"/>
      <c r="CH112" s="24"/>
      <c r="CI112" s="7"/>
      <c r="CJ112" s="7"/>
      <c r="CK112" s="24"/>
      <c r="CL112" s="7"/>
      <c r="CM112" s="7"/>
      <c r="CN112" s="24"/>
      <c r="CO112" s="24"/>
      <c r="CP112" s="14"/>
      <c r="CQ112" s="7"/>
      <c r="CR112" s="7"/>
      <c r="CS112" s="7"/>
      <c r="CT112" s="7"/>
      <c r="CU112" s="7"/>
      <c r="CV112" s="7"/>
      <c r="CW112" s="7"/>
      <c r="CX112" s="31">
        <f>SUM(D112,H112,L112,P112,T112,X112,AA112,AE112,AI112,AM112,AQ112,BC112,BG112,BK112,BO112,BS112,BW112,BZ112,AU112,AY112,CC112,CF112)</f>
        <v>250</v>
      </c>
    </row>
    <row r="114" spans="1:102" x14ac:dyDescent="0.2">
      <c r="A114" s="62" t="s">
        <v>141</v>
      </c>
      <c r="B114" s="24"/>
      <c r="C114" s="24"/>
      <c r="D114" s="14"/>
      <c r="E114" s="14"/>
      <c r="F114" s="25"/>
      <c r="G114" s="25"/>
      <c r="H114" s="14"/>
      <c r="I114" s="14"/>
      <c r="J114" s="25"/>
      <c r="K114" s="25"/>
      <c r="L114" s="14"/>
      <c r="M114" s="14"/>
      <c r="N114" s="25"/>
      <c r="O114" s="25"/>
      <c r="P114" s="14"/>
      <c r="Q114" s="14"/>
      <c r="R114" s="25"/>
      <c r="S114" s="25"/>
      <c r="T114" s="14"/>
      <c r="U114" s="14"/>
      <c r="V114" s="25"/>
      <c r="W114" s="25"/>
      <c r="X114" s="14"/>
      <c r="Y114" s="14"/>
      <c r="Z114" s="25"/>
      <c r="AA114" s="14"/>
      <c r="AB114" s="14"/>
      <c r="AC114" s="25"/>
      <c r="AD114" s="25"/>
      <c r="AE114" s="14"/>
      <c r="AF114" s="14"/>
      <c r="AG114" s="25"/>
      <c r="AH114" s="25"/>
      <c r="AI114" s="14"/>
      <c r="AJ114" s="14"/>
      <c r="AK114" s="25"/>
      <c r="AL114" s="25"/>
      <c r="AM114" s="14"/>
      <c r="AN114" s="14"/>
      <c r="AO114" s="25"/>
      <c r="AP114" s="25"/>
      <c r="AQ114" s="14"/>
      <c r="AR114" s="14"/>
      <c r="AS114" s="25"/>
      <c r="AT114" s="25"/>
      <c r="AU114" s="14"/>
      <c r="AV114" s="14"/>
      <c r="AW114" s="25"/>
      <c r="AX114" s="25"/>
      <c r="AY114" s="14"/>
      <c r="AZ114" s="14"/>
      <c r="BA114" s="25"/>
      <c r="BB114" s="25"/>
      <c r="BC114" s="14"/>
      <c r="BD114" s="14"/>
      <c r="BE114" s="25"/>
      <c r="BF114" s="25"/>
      <c r="BG114" s="14"/>
      <c r="BH114" s="14"/>
      <c r="BI114" s="25"/>
      <c r="BJ114" s="25"/>
      <c r="BK114" s="14"/>
      <c r="BL114" s="7"/>
      <c r="BM114" s="24"/>
      <c r="BN114" s="24"/>
      <c r="BO114" s="7"/>
      <c r="BP114" s="7"/>
      <c r="BQ114" s="24"/>
      <c r="BR114" s="24"/>
      <c r="BS114" s="7"/>
      <c r="BT114" s="7"/>
      <c r="BU114" s="24"/>
      <c r="BV114" s="24"/>
      <c r="BW114" s="7"/>
      <c r="BX114" s="7"/>
      <c r="BY114" s="24"/>
      <c r="BZ114" s="7"/>
      <c r="CA114" s="7"/>
      <c r="CB114" s="24"/>
      <c r="CC114" s="7"/>
      <c r="CD114" s="7"/>
      <c r="CE114" s="24"/>
      <c r="CF114" s="7"/>
      <c r="CG114" s="7"/>
      <c r="CH114" s="24"/>
      <c r="CI114" s="7"/>
      <c r="CJ114" s="7"/>
      <c r="CK114" s="24"/>
      <c r="CL114" s="7"/>
      <c r="CM114" s="7"/>
      <c r="CN114" s="24"/>
      <c r="CO114" s="24"/>
      <c r="CP114" s="14"/>
      <c r="CQ114" s="7"/>
      <c r="CR114" s="7"/>
      <c r="CS114" s="7"/>
      <c r="CT114" s="7"/>
      <c r="CU114" s="7"/>
      <c r="CV114" s="7"/>
      <c r="CW114" s="7"/>
      <c r="CX114" s="31">
        <f>SUM(D114,H114,L114,P114,T114,X114,AA114,AE114,AI114,AM114,AQ114,BC114,BG114,BK114,BO114,BS114,BW114,BZ114,AU114,AY114,CC114,CF114)</f>
        <v>0</v>
      </c>
    </row>
    <row r="117" spans="1:102" x14ac:dyDescent="0.2">
      <c r="B117" s="26"/>
      <c r="C117" s="26"/>
      <c r="D117" s="14"/>
      <c r="E117" s="14"/>
      <c r="F117" s="74"/>
      <c r="G117" s="74"/>
      <c r="H117" s="14"/>
      <c r="I117" s="14"/>
      <c r="J117" s="74"/>
      <c r="K117" s="74"/>
      <c r="L117" s="14"/>
      <c r="M117" s="14"/>
      <c r="N117" s="74"/>
      <c r="O117" s="74"/>
      <c r="P117" s="14"/>
      <c r="Q117" s="14"/>
      <c r="R117" s="74"/>
      <c r="S117" s="74"/>
      <c r="T117" s="14"/>
      <c r="U117" s="14"/>
      <c r="V117" s="74"/>
      <c r="W117" s="74"/>
      <c r="X117" s="14"/>
      <c r="Y117" s="14"/>
      <c r="Z117" s="74"/>
      <c r="AA117" s="14"/>
      <c r="AB117" s="14"/>
      <c r="AC117" s="74"/>
      <c r="AD117" s="74"/>
      <c r="AE117" s="14"/>
      <c r="AF117" s="14"/>
      <c r="AG117" s="74"/>
      <c r="AH117" s="74"/>
      <c r="AI117" s="14"/>
      <c r="AJ117" s="14"/>
      <c r="AK117" s="74"/>
      <c r="AL117" s="74"/>
      <c r="AM117" s="14"/>
      <c r="AN117" s="14"/>
      <c r="AO117" s="74"/>
      <c r="AP117" s="74"/>
      <c r="AQ117" s="14"/>
      <c r="AR117" s="14"/>
      <c r="AS117" s="74"/>
      <c r="AT117" s="74"/>
      <c r="AU117" s="14"/>
      <c r="AV117" s="14"/>
      <c r="AW117" s="74"/>
      <c r="AX117" s="74"/>
      <c r="AY117" s="14"/>
      <c r="AZ117" s="14"/>
      <c r="BA117" s="74"/>
      <c r="BB117" s="74"/>
      <c r="BC117" s="14"/>
      <c r="BD117" s="14"/>
      <c r="BE117" s="74"/>
      <c r="BF117" s="74"/>
      <c r="BG117" s="14"/>
      <c r="BH117" s="14"/>
      <c r="BI117" s="74"/>
      <c r="BJ117" s="74"/>
      <c r="BK117" s="14"/>
      <c r="BL117" s="7"/>
      <c r="BM117" s="26"/>
      <c r="BN117" s="26"/>
      <c r="BO117" s="7"/>
      <c r="BP117" s="7"/>
      <c r="BQ117" s="26"/>
      <c r="BR117" s="26"/>
      <c r="BS117" s="7"/>
      <c r="BT117" s="7"/>
      <c r="BU117" s="26"/>
      <c r="BV117" s="26"/>
      <c r="BW117" s="7"/>
      <c r="BX117" s="7"/>
      <c r="BY117" s="26"/>
      <c r="BZ117" s="7"/>
      <c r="CA117" s="7"/>
      <c r="CB117" s="26"/>
      <c r="CC117" s="7"/>
      <c r="CD117" s="7"/>
      <c r="CE117" s="26"/>
      <c r="CF117" s="7"/>
      <c r="CG117" s="7"/>
      <c r="CH117" s="26"/>
      <c r="CI117" s="7"/>
      <c r="CJ117" s="7"/>
      <c r="CK117" s="26"/>
      <c r="CL117" s="7"/>
      <c r="CM117" s="7"/>
      <c r="CN117" s="26"/>
      <c r="CO117" s="26"/>
      <c r="CP117" s="14"/>
      <c r="CQ117" s="7"/>
      <c r="CR117" s="7"/>
      <c r="CS117" s="7"/>
      <c r="CT117" s="7"/>
      <c r="CU117" s="7"/>
      <c r="CV117" s="7"/>
      <c r="CW117" s="7"/>
    </row>
    <row r="118" spans="1:102" x14ac:dyDescent="0.2">
      <c r="B118" s="26"/>
      <c r="C118" s="26"/>
      <c r="D118" s="14"/>
      <c r="E118" s="14"/>
      <c r="F118" s="74"/>
      <c r="G118" s="74"/>
      <c r="H118" s="14"/>
      <c r="I118" s="14"/>
      <c r="J118" s="74"/>
      <c r="K118" s="74"/>
      <c r="L118" s="14"/>
      <c r="M118" s="14"/>
      <c r="N118" s="74"/>
      <c r="O118" s="74"/>
      <c r="P118" s="14"/>
      <c r="Q118" s="14"/>
      <c r="R118" s="74"/>
      <c r="S118" s="74"/>
      <c r="T118" s="14"/>
      <c r="U118" s="14"/>
      <c r="V118" s="74"/>
      <c r="W118" s="74"/>
      <c r="X118" s="14"/>
      <c r="Y118" s="14"/>
      <c r="Z118" s="74"/>
      <c r="AA118" s="14"/>
      <c r="AB118" s="14"/>
      <c r="AC118" s="74"/>
      <c r="AD118" s="74"/>
      <c r="AE118" s="14"/>
      <c r="AF118" s="14"/>
      <c r="AG118" s="74"/>
      <c r="AH118" s="74"/>
      <c r="AI118" s="14"/>
      <c r="AJ118" s="14"/>
      <c r="AK118" s="74"/>
      <c r="AL118" s="74"/>
      <c r="AM118" s="14"/>
      <c r="AN118" s="14"/>
      <c r="AO118" s="74"/>
      <c r="AP118" s="74"/>
      <c r="AQ118" s="14"/>
      <c r="AR118" s="14"/>
      <c r="AS118" s="74"/>
      <c r="AT118" s="74"/>
      <c r="AU118" s="14"/>
      <c r="AV118" s="14"/>
      <c r="AW118" s="74"/>
      <c r="AX118" s="74"/>
      <c r="AY118" s="14"/>
      <c r="AZ118" s="14"/>
      <c r="BA118" s="74"/>
      <c r="BB118" s="74"/>
      <c r="BC118" s="14"/>
      <c r="BD118" s="14"/>
      <c r="BE118" s="74"/>
      <c r="BF118" s="74"/>
      <c r="BG118" s="14"/>
      <c r="BH118" s="14"/>
      <c r="BI118" s="74"/>
      <c r="BJ118" s="74"/>
      <c r="BK118" s="14"/>
      <c r="BL118" s="7"/>
      <c r="BM118" s="26"/>
      <c r="BN118" s="26"/>
      <c r="BO118" s="7"/>
      <c r="BP118" s="7"/>
      <c r="BQ118" s="26"/>
      <c r="BR118" s="26"/>
      <c r="BS118" s="7"/>
      <c r="BT118" s="7"/>
      <c r="BU118" s="26"/>
      <c r="BV118" s="26"/>
      <c r="BW118" s="7"/>
      <c r="BX118" s="7"/>
      <c r="BY118" s="26"/>
      <c r="BZ118" s="7"/>
      <c r="CA118" s="7"/>
      <c r="CB118" s="26"/>
      <c r="CC118" s="7"/>
      <c r="CD118" s="7"/>
      <c r="CE118" s="26"/>
      <c r="CF118" s="7"/>
      <c r="CG118" s="7"/>
      <c r="CH118" s="26"/>
      <c r="CI118" s="7"/>
      <c r="CJ118" s="7"/>
      <c r="CK118" s="26"/>
      <c r="CL118" s="7"/>
      <c r="CM118" s="7"/>
      <c r="CN118" s="26"/>
      <c r="CO118" s="26"/>
      <c r="CP118" s="14"/>
      <c r="CQ118" s="7"/>
      <c r="CR118" s="7"/>
      <c r="CS118" s="7"/>
      <c r="CT118" s="7"/>
      <c r="CU118" s="7"/>
      <c r="CV118" s="7"/>
      <c r="CW118" s="7"/>
    </row>
    <row r="119" spans="1:102" ht="12.75" customHeight="1" x14ac:dyDescent="0.2">
      <c r="B119" s="26"/>
      <c r="C119" s="26"/>
      <c r="D119" s="71">
        <f>SUM(D102:D118)</f>
        <v>250</v>
      </c>
      <c r="E119" s="14"/>
      <c r="F119" s="74"/>
      <c r="G119" s="74"/>
      <c r="H119" s="71">
        <f>SUM(H102:H118)</f>
        <v>0</v>
      </c>
      <c r="I119" s="14"/>
      <c r="J119" s="74"/>
      <c r="K119" s="74"/>
      <c r="L119" s="71">
        <f>SUM(L102:L118)</f>
        <v>0</v>
      </c>
      <c r="M119" s="14"/>
      <c r="N119" s="74"/>
      <c r="O119" s="74"/>
      <c r="P119" s="71">
        <f>SUM(P102:P118)</f>
        <v>0</v>
      </c>
      <c r="Q119" s="14"/>
      <c r="R119" s="74"/>
      <c r="S119" s="74"/>
      <c r="T119" s="14"/>
      <c r="U119" s="14"/>
      <c r="V119" s="74"/>
      <c r="W119" s="74"/>
      <c r="X119" s="14"/>
      <c r="Y119" s="14"/>
      <c r="Z119" s="74"/>
      <c r="AA119" s="14"/>
      <c r="AB119" s="14"/>
      <c r="AC119" s="74"/>
      <c r="AD119" s="74"/>
      <c r="AE119" s="14"/>
      <c r="AF119" s="14"/>
      <c r="AG119" s="74"/>
      <c r="AH119" s="74"/>
      <c r="AI119" s="14"/>
      <c r="AJ119" s="14"/>
      <c r="AK119" s="74"/>
      <c r="AL119" s="74"/>
      <c r="AM119" s="14"/>
      <c r="AN119" s="14"/>
      <c r="AO119" s="74"/>
      <c r="AP119" s="74"/>
      <c r="AQ119" s="14"/>
      <c r="AR119" s="14"/>
      <c r="AS119" s="74"/>
      <c r="AT119" s="74"/>
      <c r="AU119" s="14"/>
      <c r="AV119" s="14"/>
      <c r="AW119" s="74"/>
      <c r="AX119" s="74"/>
      <c r="AY119" s="14"/>
      <c r="AZ119" s="14"/>
      <c r="BA119" s="74"/>
      <c r="BB119" s="74"/>
      <c r="BC119" s="14"/>
      <c r="BD119" s="14"/>
      <c r="BE119" s="74"/>
      <c r="BF119" s="74"/>
      <c r="BG119" s="14"/>
      <c r="BH119" s="14"/>
      <c r="BI119" s="74"/>
      <c r="BJ119" s="74"/>
      <c r="BK119" s="14"/>
      <c r="BL119" s="7"/>
      <c r="BM119" s="26"/>
      <c r="BN119" s="26"/>
      <c r="BO119" s="7"/>
      <c r="BP119" s="7"/>
      <c r="BQ119" s="26"/>
      <c r="BR119" s="26"/>
      <c r="BS119" s="7"/>
      <c r="BT119" s="7"/>
      <c r="BU119" s="26"/>
      <c r="BV119" s="26"/>
      <c r="BW119" s="7"/>
      <c r="BX119" s="7"/>
      <c r="BY119" s="26"/>
      <c r="BZ119" s="7"/>
      <c r="CA119" s="7"/>
      <c r="CB119" s="26"/>
      <c r="CC119" s="7"/>
      <c r="CD119" s="7"/>
      <c r="CE119" s="26"/>
      <c r="CF119" s="7"/>
      <c r="CG119" s="7"/>
      <c r="CH119" s="26"/>
      <c r="CI119" s="7"/>
      <c r="CJ119" s="7"/>
      <c r="CK119" s="26"/>
      <c r="CL119" s="7"/>
      <c r="CM119" s="7"/>
      <c r="CN119" s="26"/>
      <c r="CO119" s="26"/>
      <c r="CP119" s="14"/>
      <c r="CQ119" s="7"/>
      <c r="CR119" s="7"/>
      <c r="CS119" s="7"/>
      <c r="CT119" s="7"/>
      <c r="CU119" s="7"/>
      <c r="CV119" s="7"/>
      <c r="CW119" s="7"/>
      <c r="CX119" s="32">
        <f>SUM(CX102:CX118)</f>
        <v>250</v>
      </c>
    </row>
    <row r="120" spans="1:102" x14ac:dyDescent="0.2">
      <c r="B120" s="26"/>
      <c r="C120" s="26"/>
      <c r="D120" s="14"/>
      <c r="E120" s="14"/>
      <c r="F120" s="74"/>
      <c r="G120" s="74"/>
      <c r="H120" s="14"/>
      <c r="I120" s="14"/>
      <c r="J120" s="74"/>
      <c r="K120" s="74"/>
      <c r="L120" s="14"/>
      <c r="M120" s="14"/>
      <c r="N120" s="74"/>
      <c r="O120" s="74"/>
      <c r="P120" s="14"/>
      <c r="Q120" s="14"/>
      <c r="R120" s="74"/>
      <c r="S120" s="74"/>
      <c r="T120" s="14"/>
      <c r="U120" s="14"/>
      <c r="V120" s="74"/>
      <c r="W120" s="74"/>
      <c r="X120" s="14"/>
      <c r="Y120" s="14"/>
      <c r="Z120" s="74"/>
      <c r="AA120" s="14"/>
      <c r="AB120" s="14"/>
      <c r="AC120" s="74"/>
      <c r="AD120" s="74"/>
      <c r="AE120" s="14"/>
      <c r="AF120" s="14"/>
      <c r="AG120" s="74"/>
      <c r="AH120" s="74"/>
      <c r="AI120" s="14"/>
      <c r="AJ120" s="14"/>
      <c r="AK120" s="74"/>
      <c r="AL120" s="74"/>
      <c r="AM120" s="14"/>
      <c r="AN120" s="14"/>
      <c r="AO120" s="74"/>
      <c r="AP120" s="74"/>
      <c r="AQ120" s="14"/>
      <c r="AR120" s="14"/>
      <c r="AS120" s="74"/>
      <c r="AT120" s="74"/>
      <c r="AU120" s="14"/>
      <c r="AV120" s="14"/>
      <c r="AW120" s="74"/>
      <c r="AX120" s="74"/>
      <c r="AY120" s="14"/>
      <c r="AZ120" s="14"/>
      <c r="BA120" s="74"/>
      <c r="BB120" s="74"/>
      <c r="BC120" s="14"/>
      <c r="BD120" s="14"/>
      <c r="BE120" s="74"/>
      <c r="BF120" s="74"/>
      <c r="BG120" s="14"/>
      <c r="BH120" s="14"/>
      <c r="BI120" s="74"/>
      <c r="BJ120" s="74"/>
      <c r="BK120" s="14"/>
      <c r="BL120" s="7"/>
      <c r="BM120" s="26"/>
      <c r="BN120" s="26"/>
      <c r="BO120" s="7"/>
      <c r="BP120" s="7"/>
      <c r="BQ120" s="26"/>
      <c r="BR120" s="26"/>
      <c r="BS120" s="7"/>
      <c r="BT120" s="7"/>
      <c r="BU120" s="26"/>
      <c r="BV120" s="26"/>
      <c r="BW120" s="7"/>
      <c r="BX120" s="7"/>
      <c r="BY120" s="26"/>
      <c r="BZ120" s="7"/>
      <c r="CA120" s="7"/>
      <c r="CB120" s="26"/>
      <c r="CC120" s="7"/>
      <c r="CD120" s="7"/>
      <c r="CE120" s="26"/>
      <c r="CF120" s="7"/>
      <c r="CG120" s="7"/>
      <c r="CH120" s="26"/>
      <c r="CI120" s="7"/>
      <c r="CJ120" s="7"/>
      <c r="CK120" s="26"/>
      <c r="CL120" s="7"/>
      <c r="CM120" s="7"/>
      <c r="CN120" s="26"/>
      <c r="CO120" s="26"/>
      <c r="CP120" s="14"/>
      <c r="CQ120" s="7"/>
      <c r="CR120" s="7"/>
      <c r="CS120" s="7"/>
      <c r="CT120" s="7"/>
      <c r="CU120" s="7"/>
      <c r="CV120" s="7"/>
      <c r="CW120" s="7"/>
    </row>
    <row r="121" spans="1:102" x14ac:dyDescent="0.2">
      <c r="B121" s="26"/>
      <c r="C121" s="26"/>
      <c r="D121" s="14"/>
      <c r="E121" s="14"/>
      <c r="F121" s="74"/>
      <c r="G121" s="74"/>
      <c r="H121" s="14"/>
      <c r="I121" s="14"/>
      <c r="J121" s="74"/>
      <c r="K121" s="74"/>
      <c r="L121" s="14"/>
      <c r="M121" s="14"/>
      <c r="N121" s="74"/>
      <c r="O121" s="74"/>
      <c r="P121" s="14"/>
      <c r="Q121" s="14"/>
      <c r="R121" s="74"/>
      <c r="S121" s="74"/>
      <c r="T121" s="14"/>
      <c r="U121" s="14"/>
      <c r="V121" s="74"/>
      <c r="W121" s="74"/>
      <c r="X121" s="14"/>
      <c r="Y121" s="14"/>
      <c r="Z121" s="74"/>
      <c r="AA121" s="14"/>
      <c r="AB121" s="14"/>
      <c r="AC121" s="74"/>
      <c r="AD121" s="74"/>
      <c r="AE121" s="14"/>
      <c r="AF121" s="14"/>
      <c r="AG121" s="74"/>
      <c r="AH121" s="74"/>
      <c r="AI121" s="14"/>
      <c r="AJ121" s="14"/>
      <c r="AK121" s="74"/>
      <c r="AL121" s="74"/>
      <c r="AM121" s="14"/>
      <c r="AN121" s="14"/>
      <c r="AO121" s="74"/>
      <c r="AP121" s="74"/>
      <c r="AQ121" s="14"/>
      <c r="AR121" s="14"/>
      <c r="AS121" s="74"/>
      <c r="AT121" s="74"/>
      <c r="AU121" s="14"/>
      <c r="AV121" s="14"/>
      <c r="AW121" s="74"/>
      <c r="AX121" s="74"/>
      <c r="AY121" s="14"/>
      <c r="AZ121" s="14"/>
      <c r="BA121" s="74"/>
      <c r="BB121" s="74"/>
      <c r="BC121" s="14"/>
      <c r="BD121" s="14"/>
      <c r="BE121" s="74"/>
      <c r="BF121" s="74"/>
      <c r="BG121" s="14"/>
      <c r="BH121" s="14"/>
      <c r="BI121" s="74"/>
      <c r="BJ121" s="74"/>
      <c r="BK121" s="14"/>
      <c r="BL121" s="7"/>
      <c r="BM121" s="26"/>
      <c r="BN121" s="26"/>
      <c r="BO121" s="7"/>
      <c r="BP121" s="7"/>
      <c r="BQ121" s="26"/>
      <c r="BR121" s="26"/>
      <c r="BS121" s="7"/>
      <c r="BT121" s="7"/>
      <c r="BU121" s="26"/>
      <c r="BV121" s="26"/>
      <c r="BW121" s="7"/>
      <c r="BX121" s="7"/>
      <c r="BY121" s="26"/>
      <c r="BZ121" s="7"/>
      <c r="CA121" s="7"/>
      <c r="CB121" s="26"/>
      <c r="CC121" s="7"/>
      <c r="CD121" s="7"/>
      <c r="CE121" s="26"/>
      <c r="CF121" s="7"/>
      <c r="CG121" s="7"/>
      <c r="CH121" s="26"/>
      <c r="CI121" s="7"/>
      <c r="CJ121" s="7"/>
      <c r="CK121" s="26"/>
      <c r="CL121" s="7"/>
      <c r="CM121" s="7"/>
      <c r="CN121" s="26"/>
      <c r="CO121" s="26"/>
      <c r="CP121" s="14"/>
      <c r="CQ121" s="7"/>
      <c r="CR121" s="7"/>
      <c r="CS121" s="7"/>
      <c r="CT121" s="7"/>
      <c r="CU121" s="7"/>
      <c r="CV121" s="7"/>
      <c r="CW121" s="7"/>
    </row>
    <row r="122" spans="1:102" x14ac:dyDescent="0.2">
      <c r="B122" s="26"/>
      <c r="C122" s="26"/>
      <c r="D122" s="14"/>
      <c r="E122" s="14"/>
      <c r="F122" s="74"/>
      <c r="G122" s="74"/>
      <c r="H122" s="14"/>
      <c r="I122" s="14"/>
      <c r="J122" s="74"/>
      <c r="K122" s="74"/>
      <c r="L122" s="14"/>
      <c r="M122" s="14"/>
      <c r="N122" s="74"/>
      <c r="O122" s="74"/>
      <c r="P122" s="14"/>
      <c r="Q122" s="14"/>
      <c r="R122" s="74"/>
      <c r="S122" s="74"/>
      <c r="T122" s="14"/>
      <c r="U122" s="14"/>
      <c r="V122" s="74"/>
      <c r="W122" s="74"/>
      <c r="X122" s="14"/>
      <c r="Y122" s="14"/>
      <c r="Z122" s="74"/>
      <c r="AA122" s="14"/>
      <c r="AB122" s="14"/>
      <c r="AC122" s="74"/>
      <c r="AD122" s="74"/>
      <c r="AE122" s="14"/>
      <c r="AF122" s="14"/>
      <c r="AG122" s="74"/>
      <c r="AH122" s="74"/>
      <c r="AI122" s="14"/>
      <c r="AJ122" s="14"/>
      <c r="AK122" s="74"/>
      <c r="AL122" s="74"/>
      <c r="AM122" s="14"/>
      <c r="AN122" s="14"/>
      <c r="AO122" s="74"/>
      <c r="AP122" s="74"/>
      <c r="AQ122" s="14"/>
      <c r="AR122" s="14"/>
      <c r="AS122" s="74"/>
      <c r="AT122" s="74"/>
      <c r="AU122" s="14"/>
      <c r="AV122" s="14"/>
      <c r="AW122" s="74"/>
      <c r="AX122" s="74"/>
      <c r="AY122" s="14"/>
      <c r="AZ122" s="14"/>
      <c r="BA122" s="74"/>
      <c r="BB122" s="74"/>
      <c r="BC122" s="14"/>
      <c r="BD122" s="14"/>
      <c r="BE122" s="74"/>
      <c r="BF122" s="74"/>
      <c r="BG122" s="14"/>
      <c r="BH122" s="14"/>
      <c r="BI122" s="74"/>
      <c r="BJ122" s="74"/>
      <c r="BK122" s="14"/>
      <c r="BL122" s="7"/>
      <c r="BM122" s="26"/>
      <c r="BN122" s="26"/>
      <c r="BO122" s="7"/>
      <c r="BP122" s="7"/>
      <c r="BQ122" s="26"/>
      <c r="BR122" s="26"/>
      <c r="BS122" s="7"/>
      <c r="BT122" s="7"/>
      <c r="BU122" s="26"/>
      <c r="BV122" s="26"/>
      <c r="BW122" s="7"/>
      <c r="BX122" s="7"/>
      <c r="BY122" s="26"/>
      <c r="BZ122" s="7"/>
      <c r="CA122" s="7"/>
      <c r="CB122" s="26"/>
      <c r="CC122" s="7"/>
      <c r="CD122" s="7"/>
      <c r="CE122" s="26"/>
      <c r="CF122" s="7"/>
      <c r="CG122" s="7"/>
      <c r="CH122" s="26"/>
      <c r="CI122" s="7"/>
      <c r="CJ122" s="7"/>
      <c r="CK122" s="26"/>
      <c r="CL122" s="7"/>
      <c r="CM122" s="7"/>
      <c r="CN122" s="26"/>
      <c r="CO122" s="26"/>
      <c r="CP122" s="14"/>
      <c r="CQ122" s="7"/>
      <c r="CR122" s="7"/>
      <c r="CS122" s="7"/>
      <c r="CT122" s="7"/>
      <c r="CU122" s="7"/>
      <c r="CV122" s="7"/>
      <c r="CW122" s="7"/>
      <c r="CX122"/>
    </row>
    <row r="123" spans="1:102" x14ac:dyDescent="0.2">
      <c r="B123" s="26"/>
      <c r="C123" s="26"/>
      <c r="D123" s="14"/>
      <c r="E123" s="14"/>
      <c r="F123" s="74"/>
      <c r="G123" s="74"/>
      <c r="H123" s="14"/>
      <c r="I123" s="14"/>
      <c r="J123" s="74"/>
      <c r="K123" s="74"/>
      <c r="L123" s="14"/>
      <c r="M123" s="14"/>
      <c r="N123" s="74"/>
      <c r="O123" s="74"/>
      <c r="P123" s="14"/>
      <c r="Q123" s="14"/>
      <c r="R123" s="74"/>
      <c r="S123" s="74"/>
      <c r="T123" s="14"/>
      <c r="U123" s="14"/>
      <c r="V123" s="74"/>
      <c r="W123" s="74"/>
      <c r="X123" s="14"/>
      <c r="Y123" s="14"/>
      <c r="Z123" s="74"/>
      <c r="AA123" s="14"/>
      <c r="AB123" s="14"/>
      <c r="AC123" s="74"/>
      <c r="AD123" s="74"/>
      <c r="AE123" s="14"/>
      <c r="AF123" s="14"/>
      <c r="AG123" s="74"/>
      <c r="AH123" s="74"/>
      <c r="AI123" s="14"/>
      <c r="AJ123" s="14"/>
      <c r="AK123" s="74"/>
      <c r="AL123" s="74"/>
      <c r="AM123" s="14"/>
      <c r="AN123" s="14"/>
      <c r="AO123" s="74"/>
      <c r="AP123" s="74"/>
      <c r="AQ123" s="14"/>
      <c r="AR123" s="14"/>
      <c r="AS123" s="74"/>
      <c r="AT123" s="74"/>
      <c r="AU123" s="14"/>
      <c r="AV123" s="14"/>
      <c r="AW123" s="74"/>
      <c r="AX123" s="74"/>
      <c r="AY123" s="14"/>
      <c r="AZ123" s="14"/>
      <c r="BA123" s="74"/>
      <c r="BB123" s="74"/>
      <c r="BC123" s="14"/>
      <c r="BD123" s="14"/>
      <c r="BE123" s="74"/>
      <c r="BF123" s="74"/>
      <c r="BG123" s="14"/>
      <c r="BH123" s="14"/>
      <c r="BI123" s="74"/>
      <c r="BJ123" s="74"/>
      <c r="BK123" s="14"/>
      <c r="BL123" s="7"/>
      <c r="BM123" s="26"/>
      <c r="BN123" s="26"/>
      <c r="BO123" s="7"/>
      <c r="BP123" s="7"/>
      <c r="BQ123" s="26"/>
      <c r="BR123" s="26"/>
      <c r="BS123" s="7"/>
      <c r="BT123" s="7"/>
      <c r="BU123" s="26"/>
      <c r="BV123" s="26"/>
      <c r="BW123" s="7"/>
      <c r="BX123" s="7"/>
      <c r="BY123" s="26"/>
      <c r="BZ123" s="7"/>
      <c r="CA123" s="7"/>
      <c r="CB123" s="26"/>
      <c r="CC123" s="7"/>
      <c r="CD123" s="7"/>
      <c r="CE123" s="26"/>
      <c r="CF123" s="7"/>
      <c r="CG123" s="7"/>
      <c r="CH123" s="26"/>
      <c r="CI123" s="7"/>
      <c r="CJ123" s="7"/>
      <c r="CK123" s="26"/>
      <c r="CL123" s="7"/>
      <c r="CM123" s="7"/>
      <c r="CN123" s="26"/>
      <c r="CO123" s="26"/>
      <c r="CP123" s="14"/>
      <c r="CQ123" s="7"/>
      <c r="CR123" s="7"/>
      <c r="CS123" s="7"/>
      <c r="CT123" s="7"/>
      <c r="CU123" s="7"/>
      <c r="CV123" s="7"/>
      <c r="CW123" s="7"/>
      <c r="CX123"/>
    </row>
    <row r="124" spans="1:102" x14ac:dyDescent="0.2">
      <c r="B124" s="26"/>
      <c r="C124" s="26"/>
      <c r="D124" s="14"/>
      <c r="E124" s="14"/>
      <c r="F124" s="74"/>
      <c r="G124" s="74"/>
      <c r="H124" s="14"/>
      <c r="I124" s="14"/>
      <c r="J124" s="74"/>
      <c r="K124" s="74"/>
      <c r="L124" s="14"/>
      <c r="M124" s="14"/>
      <c r="N124" s="74"/>
      <c r="O124" s="74"/>
      <c r="P124" s="14"/>
      <c r="Q124" s="14"/>
      <c r="R124" s="74"/>
      <c r="S124" s="74"/>
      <c r="T124" s="14"/>
      <c r="U124" s="14"/>
      <c r="V124" s="74"/>
      <c r="W124" s="74"/>
      <c r="X124" s="14"/>
      <c r="Y124" s="14"/>
      <c r="Z124" s="74"/>
      <c r="AA124" s="14"/>
      <c r="AB124" s="14"/>
      <c r="AC124" s="74"/>
      <c r="AD124" s="74"/>
      <c r="AE124" s="14"/>
      <c r="AF124" s="14"/>
      <c r="AG124" s="74"/>
      <c r="AH124" s="74"/>
      <c r="AI124" s="14"/>
      <c r="AJ124" s="14"/>
      <c r="AK124" s="74"/>
      <c r="AL124" s="74"/>
      <c r="AM124" s="14"/>
      <c r="AN124" s="14"/>
      <c r="AO124" s="74"/>
      <c r="AP124" s="74"/>
      <c r="AQ124" s="14"/>
      <c r="AR124" s="14"/>
      <c r="AS124" s="74"/>
      <c r="AT124" s="74"/>
      <c r="AU124" s="14"/>
      <c r="AV124" s="14"/>
      <c r="AW124" s="74"/>
      <c r="AX124" s="74"/>
      <c r="AY124" s="14"/>
      <c r="AZ124" s="14"/>
      <c r="BA124" s="74"/>
      <c r="BB124" s="74"/>
      <c r="BC124" s="14"/>
      <c r="BD124" s="14"/>
      <c r="BE124" s="74"/>
      <c r="BF124" s="74"/>
      <c r="BG124" s="14"/>
      <c r="BH124" s="14"/>
      <c r="BI124" s="74"/>
      <c r="BJ124" s="74"/>
      <c r="BK124" s="14"/>
      <c r="BL124" s="7"/>
      <c r="BM124" s="26"/>
      <c r="BN124" s="26"/>
      <c r="BO124" s="7"/>
      <c r="BP124" s="7"/>
      <c r="BQ124" s="26"/>
      <c r="BR124" s="26"/>
      <c r="BS124" s="7"/>
      <c r="BT124" s="7"/>
      <c r="BU124" s="26"/>
      <c r="BV124" s="26"/>
      <c r="BW124" s="7"/>
      <c r="BX124" s="7"/>
      <c r="BY124" s="26"/>
      <c r="BZ124" s="7"/>
      <c r="CA124" s="7"/>
      <c r="CB124" s="26"/>
      <c r="CC124" s="7"/>
      <c r="CD124" s="7"/>
      <c r="CE124" s="26"/>
      <c r="CF124" s="7"/>
      <c r="CG124" s="7"/>
      <c r="CH124" s="26"/>
      <c r="CI124" s="7"/>
      <c r="CJ124" s="7"/>
      <c r="CK124" s="26"/>
      <c r="CL124" s="7"/>
      <c r="CM124" s="7"/>
      <c r="CN124" s="26"/>
      <c r="CO124" s="26"/>
      <c r="CP124" s="14"/>
      <c r="CQ124" s="7"/>
      <c r="CR124" s="7"/>
      <c r="CS124" s="7"/>
      <c r="CT124" s="7"/>
      <c r="CU124" s="7"/>
      <c r="CV124" s="7"/>
      <c r="CW124" s="7"/>
      <c r="CX124"/>
    </row>
    <row r="125" spans="1:102" x14ac:dyDescent="0.2">
      <c r="B125" s="26"/>
      <c r="C125" s="26"/>
      <c r="D125" s="14"/>
      <c r="E125" s="14"/>
      <c r="F125" s="74"/>
      <c r="G125" s="74"/>
      <c r="H125" s="14"/>
      <c r="I125" s="14"/>
      <c r="J125" s="74"/>
      <c r="K125" s="74"/>
      <c r="L125" s="14"/>
      <c r="M125" s="14"/>
      <c r="N125" s="74"/>
      <c r="O125" s="74"/>
      <c r="P125" s="14"/>
      <c r="Q125" s="14"/>
      <c r="R125" s="74"/>
      <c r="S125" s="74"/>
      <c r="T125" s="14"/>
      <c r="U125" s="14"/>
      <c r="V125" s="74"/>
      <c r="W125" s="74"/>
      <c r="X125" s="14"/>
      <c r="Y125" s="14"/>
      <c r="Z125" s="74"/>
      <c r="AA125" s="14"/>
      <c r="AB125" s="14"/>
      <c r="AC125" s="74"/>
      <c r="AD125" s="74"/>
      <c r="AE125" s="14"/>
      <c r="AF125" s="14"/>
      <c r="AG125" s="74"/>
      <c r="AH125" s="74"/>
      <c r="AI125" s="14"/>
      <c r="AJ125" s="14"/>
      <c r="AK125" s="74"/>
      <c r="AL125" s="74"/>
      <c r="AM125" s="14"/>
      <c r="AN125" s="14"/>
      <c r="AO125" s="74"/>
      <c r="AP125" s="74"/>
      <c r="AQ125" s="14"/>
      <c r="AR125" s="14"/>
      <c r="AS125" s="74"/>
      <c r="AT125" s="74"/>
      <c r="AU125" s="14"/>
      <c r="AV125" s="14"/>
      <c r="AW125" s="74"/>
      <c r="AX125" s="74"/>
      <c r="AY125" s="14"/>
      <c r="AZ125" s="14"/>
      <c r="BA125" s="74"/>
      <c r="BB125" s="74"/>
      <c r="BC125" s="14"/>
      <c r="BD125" s="14"/>
      <c r="BE125" s="74"/>
      <c r="BF125" s="74"/>
      <c r="BG125" s="14"/>
      <c r="BH125" s="14"/>
      <c r="BI125" s="74"/>
      <c r="BJ125" s="74"/>
      <c r="BK125" s="14"/>
      <c r="BL125" s="7"/>
      <c r="BM125" s="26"/>
      <c r="BN125" s="26"/>
      <c r="BO125" s="7"/>
      <c r="BP125" s="7"/>
      <c r="BQ125" s="26"/>
      <c r="BR125" s="26"/>
      <c r="BS125" s="7"/>
      <c r="BT125" s="7"/>
      <c r="BU125" s="26"/>
      <c r="BV125" s="26"/>
      <c r="BW125" s="7"/>
      <c r="BX125" s="7"/>
      <c r="BY125" s="26"/>
      <c r="BZ125" s="7"/>
      <c r="CA125" s="7"/>
      <c r="CB125" s="26"/>
      <c r="CC125" s="7"/>
      <c r="CD125" s="7"/>
      <c r="CE125" s="26"/>
      <c r="CF125" s="7"/>
      <c r="CG125" s="7"/>
      <c r="CH125" s="26"/>
      <c r="CI125" s="7"/>
      <c r="CJ125" s="7"/>
      <c r="CK125" s="26"/>
      <c r="CL125" s="7"/>
      <c r="CM125" s="7"/>
      <c r="CN125" s="26"/>
      <c r="CO125" s="26"/>
      <c r="CP125" s="14"/>
      <c r="CQ125" s="7"/>
      <c r="CR125" s="7"/>
      <c r="CS125" s="7"/>
      <c r="CT125" s="7"/>
      <c r="CU125" s="7"/>
      <c r="CV125" s="7"/>
      <c r="CW125" s="7"/>
      <c r="CX125"/>
    </row>
    <row r="126" spans="1:102" x14ac:dyDescent="0.2">
      <c r="B126" s="26"/>
      <c r="C126" s="26"/>
      <c r="D126" s="14"/>
      <c r="E126" s="14"/>
      <c r="F126" s="74"/>
      <c r="G126" s="74"/>
      <c r="H126" s="14"/>
      <c r="I126" s="14"/>
      <c r="J126" s="74"/>
      <c r="K126" s="74"/>
      <c r="L126" s="14"/>
      <c r="M126" s="14"/>
      <c r="N126" s="74"/>
      <c r="O126" s="74"/>
      <c r="P126" s="14"/>
      <c r="Q126" s="14"/>
      <c r="R126" s="74"/>
      <c r="S126" s="74"/>
      <c r="T126" s="14"/>
      <c r="U126" s="14"/>
      <c r="V126" s="74"/>
      <c r="W126" s="74"/>
      <c r="X126" s="14"/>
      <c r="Y126" s="14"/>
      <c r="Z126" s="74"/>
      <c r="AA126" s="14"/>
      <c r="AB126" s="14"/>
      <c r="AC126" s="74"/>
      <c r="AD126" s="74"/>
      <c r="AE126" s="14"/>
      <c r="AF126" s="14"/>
      <c r="AG126" s="74"/>
      <c r="AH126" s="74"/>
      <c r="AI126" s="14"/>
      <c r="AJ126" s="14"/>
      <c r="AK126" s="74"/>
      <c r="AL126" s="74"/>
      <c r="AM126" s="14"/>
      <c r="AN126" s="14"/>
      <c r="AO126" s="74"/>
      <c r="AP126" s="74"/>
      <c r="AQ126" s="14"/>
      <c r="AR126" s="14"/>
      <c r="AS126" s="74"/>
      <c r="AT126" s="74"/>
      <c r="AU126" s="14"/>
      <c r="AV126" s="14"/>
      <c r="AW126" s="74"/>
      <c r="AX126" s="74"/>
      <c r="AY126" s="14"/>
      <c r="AZ126" s="14"/>
      <c r="BA126" s="74"/>
      <c r="BB126" s="74"/>
      <c r="BC126" s="14"/>
      <c r="BD126" s="14"/>
      <c r="BE126" s="74"/>
      <c r="BF126" s="74"/>
      <c r="BG126" s="14"/>
      <c r="BH126" s="14"/>
      <c r="BI126" s="74"/>
      <c r="BJ126" s="74"/>
      <c r="BK126" s="14"/>
      <c r="BL126" s="7"/>
      <c r="BM126" s="26"/>
      <c r="BN126" s="26"/>
      <c r="BO126" s="7"/>
      <c r="BP126" s="7"/>
      <c r="BQ126" s="26"/>
      <c r="BR126" s="26"/>
      <c r="BS126" s="7"/>
      <c r="BT126" s="7"/>
      <c r="BU126" s="26"/>
      <c r="BV126" s="26"/>
      <c r="BW126" s="7"/>
      <c r="BX126" s="7"/>
      <c r="BY126" s="26"/>
      <c r="BZ126" s="7"/>
      <c r="CA126" s="7"/>
      <c r="CB126" s="26"/>
      <c r="CC126" s="7"/>
      <c r="CD126" s="7"/>
      <c r="CE126" s="26"/>
      <c r="CF126" s="7"/>
      <c r="CG126" s="7"/>
      <c r="CH126" s="26"/>
      <c r="CI126" s="7"/>
      <c r="CJ126" s="7"/>
      <c r="CK126" s="26"/>
      <c r="CL126" s="7"/>
      <c r="CM126" s="7"/>
      <c r="CN126" s="26"/>
      <c r="CO126" s="26"/>
      <c r="CP126" s="14"/>
      <c r="CQ126" s="7"/>
      <c r="CR126" s="7"/>
      <c r="CS126" s="7"/>
      <c r="CT126" s="7"/>
      <c r="CU126" s="7"/>
      <c r="CV126" s="7"/>
      <c r="CW126" s="7"/>
      <c r="CX126"/>
    </row>
    <row r="127" spans="1:102" x14ac:dyDescent="0.2">
      <c r="B127" s="26"/>
      <c r="C127" s="26"/>
      <c r="D127" s="14"/>
      <c r="E127" s="14"/>
      <c r="F127" s="74"/>
      <c r="G127" s="74"/>
      <c r="H127" s="14"/>
      <c r="I127" s="14"/>
      <c r="J127" s="74"/>
      <c r="K127" s="74"/>
      <c r="L127" s="14"/>
      <c r="M127" s="14"/>
      <c r="N127" s="74"/>
      <c r="O127" s="74"/>
      <c r="P127" s="14"/>
      <c r="Q127" s="14"/>
      <c r="R127" s="74"/>
      <c r="S127" s="74"/>
      <c r="T127" s="14"/>
      <c r="U127" s="14"/>
      <c r="V127" s="74"/>
      <c r="W127" s="74"/>
      <c r="X127" s="14"/>
      <c r="Y127" s="14"/>
      <c r="Z127" s="74"/>
      <c r="AA127" s="14"/>
      <c r="AB127" s="14"/>
      <c r="AC127" s="74"/>
      <c r="AD127" s="74"/>
      <c r="AE127" s="14"/>
      <c r="AF127" s="14"/>
      <c r="AG127" s="74"/>
      <c r="AH127" s="74"/>
      <c r="AI127" s="14"/>
      <c r="AJ127" s="14"/>
      <c r="AK127" s="74"/>
      <c r="AL127" s="74"/>
      <c r="AM127" s="14"/>
      <c r="AN127" s="14"/>
      <c r="AO127" s="74"/>
      <c r="AP127" s="74"/>
      <c r="AQ127" s="14"/>
      <c r="AR127" s="14"/>
      <c r="AS127" s="74"/>
      <c r="AT127" s="74"/>
      <c r="AU127" s="14"/>
      <c r="AV127" s="14"/>
      <c r="AW127" s="74"/>
      <c r="AX127" s="74"/>
      <c r="AY127" s="14"/>
      <c r="AZ127" s="14"/>
      <c r="BA127" s="74"/>
      <c r="BB127" s="74"/>
      <c r="BC127" s="14"/>
      <c r="BD127" s="14"/>
      <c r="BE127" s="74"/>
      <c r="BF127" s="74"/>
      <c r="BG127" s="14"/>
      <c r="BH127" s="14"/>
      <c r="BI127" s="74"/>
      <c r="BJ127" s="74"/>
      <c r="BK127" s="14"/>
      <c r="BL127" s="7"/>
      <c r="BM127" s="26"/>
      <c r="BN127" s="26"/>
      <c r="BO127" s="7"/>
      <c r="BP127" s="7"/>
      <c r="BQ127" s="26"/>
      <c r="BR127" s="26"/>
      <c r="BS127" s="7"/>
      <c r="BT127" s="7"/>
      <c r="BU127" s="26"/>
      <c r="BV127" s="26"/>
      <c r="BW127" s="7"/>
      <c r="BX127" s="7"/>
      <c r="BY127" s="26"/>
      <c r="BZ127" s="7"/>
      <c r="CA127" s="7"/>
      <c r="CB127" s="26"/>
      <c r="CC127" s="7"/>
      <c r="CD127" s="7"/>
      <c r="CE127" s="26"/>
      <c r="CF127" s="7"/>
      <c r="CG127" s="7"/>
      <c r="CH127" s="26"/>
      <c r="CI127" s="7"/>
      <c r="CJ127" s="7"/>
      <c r="CK127" s="26"/>
      <c r="CL127" s="7"/>
      <c r="CM127" s="7"/>
      <c r="CN127" s="26"/>
      <c r="CO127" s="26"/>
      <c r="CP127" s="14"/>
      <c r="CQ127" s="7"/>
      <c r="CR127" s="7"/>
      <c r="CS127" s="7"/>
      <c r="CT127" s="7"/>
      <c r="CU127" s="7"/>
      <c r="CV127" s="7"/>
      <c r="CW127" s="7"/>
      <c r="CX127"/>
    </row>
    <row r="128" spans="1:102" x14ac:dyDescent="0.2">
      <c r="B128" s="26"/>
      <c r="C128" s="26"/>
      <c r="D128" s="14"/>
      <c r="E128" s="14"/>
      <c r="F128" s="74"/>
      <c r="G128" s="74"/>
      <c r="H128" s="14"/>
      <c r="I128" s="14"/>
      <c r="J128" s="74"/>
      <c r="K128" s="74"/>
      <c r="L128" s="14"/>
      <c r="M128" s="14"/>
      <c r="N128" s="74"/>
      <c r="O128" s="74"/>
      <c r="P128" s="14"/>
      <c r="Q128" s="14"/>
      <c r="R128" s="74"/>
      <c r="S128" s="74"/>
      <c r="T128" s="14"/>
      <c r="U128" s="14"/>
      <c r="V128" s="74"/>
      <c r="W128" s="74"/>
      <c r="X128" s="14"/>
      <c r="Y128" s="14"/>
      <c r="Z128" s="74"/>
      <c r="AA128" s="14"/>
      <c r="AB128" s="14"/>
      <c r="AC128" s="74"/>
      <c r="AD128" s="74"/>
      <c r="AE128" s="14"/>
      <c r="AF128" s="14"/>
      <c r="AG128" s="74"/>
      <c r="AH128" s="74"/>
      <c r="AI128" s="14"/>
      <c r="AJ128" s="14"/>
      <c r="AK128" s="74"/>
      <c r="AL128" s="74"/>
      <c r="AM128" s="14"/>
      <c r="AN128" s="14"/>
      <c r="AO128" s="74"/>
      <c r="AP128" s="74"/>
      <c r="AQ128" s="14"/>
      <c r="AR128" s="14"/>
      <c r="AS128" s="74"/>
      <c r="AT128" s="74"/>
      <c r="AU128" s="14"/>
      <c r="AV128" s="14"/>
      <c r="AW128" s="74"/>
      <c r="AX128" s="74"/>
      <c r="AY128" s="14"/>
      <c r="AZ128" s="14"/>
      <c r="BA128" s="74"/>
      <c r="BB128" s="74"/>
      <c r="BC128" s="14"/>
      <c r="BD128" s="14"/>
      <c r="BE128" s="74"/>
      <c r="BF128" s="74"/>
      <c r="BG128" s="14"/>
      <c r="BH128" s="14"/>
      <c r="BI128" s="74"/>
      <c r="BJ128" s="74"/>
      <c r="BK128" s="14"/>
      <c r="BL128" s="7"/>
      <c r="BM128" s="26"/>
      <c r="BN128" s="26"/>
      <c r="BO128" s="7"/>
      <c r="BP128" s="7"/>
      <c r="BQ128" s="26"/>
      <c r="BR128" s="26"/>
      <c r="BS128" s="7"/>
      <c r="BT128" s="7"/>
      <c r="BU128" s="26"/>
      <c r="BV128" s="26"/>
      <c r="BW128" s="7"/>
      <c r="BX128" s="7"/>
      <c r="BY128" s="26"/>
      <c r="BZ128" s="7"/>
      <c r="CA128" s="7"/>
      <c r="CB128" s="26"/>
      <c r="CC128" s="7"/>
      <c r="CD128" s="7"/>
      <c r="CE128" s="26"/>
      <c r="CF128" s="7"/>
      <c r="CG128" s="7"/>
      <c r="CH128" s="26"/>
      <c r="CI128" s="7"/>
      <c r="CJ128" s="7"/>
      <c r="CK128" s="26"/>
      <c r="CL128" s="7"/>
      <c r="CM128" s="7"/>
      <c r="CN128" s="26"/>
      <c r="CO128" s="26"/>
      <c r="CP128" s="14"/>
      <c r="CQ128" s="7"/>
      <c r="CR128" s="7"/>
      <c r="CS128" s="7"/>
      <c r="CT128" s="7"/>
      <c r="CU128" s="7"/>
      <c r="CV128" s="7"/>
      <c r="CW128" s="7"/>
      <c r="CX128"/>
    </row>
    <row r="129" spans="2:102" x14ac:dyDescent="0.2">
      <c r="B129" s="26"/>
      <c r="C129" s="26"/>
      <c r="D129" s="14"/>
      <c r="E129" s="14"/>
      <c r="F129" s="74"/>
      <c r="G129" s="74"/>
      <c r="H129" s="14"/>
      <c r="I129" s="14"/>
      <c r="J129" s="74"/>
      <c r="K129" s="74"/>
      <c r="L129" s="14"/>
      <c r="M129" s="14"/>
      <c r="N129" s="74"/>
      <c r="O129" s="74"/>
      <c r="P129" s="14"/>
      <c r="Q129" s="14"/>
      <c r="R129" s="74"/>
      <c r="S129" s="74"/>
      <c r="T129" s="14"/>
      <c r="U129" s="14"/>
      <c r="V129" s="74"/>
      <c r="W129" s="74"/>
      <c r="X129" s="14"/>
      <c r="Y129" s="14"/>
      <c r="Z129" s="74"/>
      <c r="AA129" s="14"/>
      <c r="AB129" s="14"/>
      <c r="AC129" s="74"/>
      <c r="AD129" s="74"/>
      <c r="AE129" s="14"/>
      <c r="AF129" s="14"/>
      <c r="AG129" s="74"/>
      <c r="AH129" s="74"/>
      <c r="AI129" s="14"/>
      <c r="AJ129" s="14"/>
      <c r="AK129" s="74"/>
      <c r="AL129" s="74"/>
      <c r="AM129" s="14"/>
      <c r="AN129" s="14"/>
      <c r="AO129" s="74"/>
      <c r="AP129" s="74"/>
      <c r="AQ129" s="14"/>
      <c r="AR129" s="14"/>
      <c r="AS129" s="74"/>
      <c r="AT129" s="74"/>
      <c r="AU129" s="14"/>
      <c r="AV129" s="14"/>
      <c r="AW129" s="74"/>
      <c r="AX129" s="74"/>
      <c r="AY129" s="14"/>
      <c r="AZ129" s="14"/>
      <c r="BA129" s="74"/>
      <c r="BB129" s="74"/>
      <c r="BC129" s="14"/>
      <c r="BD129" s="14"/>
      <c r="BE129" s="74"/>
      <c r="BF129" s="74"/>
      <c r="BG129" s="14"/>
      <c r="BH129" s="14"/>
      <c r="BI129" s="74"/>
      <c r="BJ129" s="74"/>
      <c r="BK129" s="14"/>
      <c r="BL129" s="7"/>
      <c r="BM129" s="26"/>
      <c r="BN129" s="26"/>
      <c r="BO129" s="7"/>
      <c r="BP129" s="7"/>
      <c r="BQ129" s="26"/>
      <c r="BR129" s="26"/>
      <c r="BS129" s="7"/>
      <c r="BT129" s="7"/>
      <c r="BU129" s="26"/>
      <c r="BV129" s="26"/>
      <c r="BW129" s="7"/>
      <c r="BX129" s="7"/>
      <c r="BY129" s="26"/>
      <c r="BZ129" s="7"/>
      <c r="CA129" s="7"/>
      <c r="CB129" s="26"/>
      <c r="CC129" s="7"/>
      <c r="CD129" s="7"/>
      <c r="CE129" s="26"/>
      <c r="CF129" s="7"/>
      <c r="CG129" s="7"/>
      <c r="CH129" s="26"/>
      <c r="CI129" s="7"/>
      <c r="CJ129" s="7"/>
      <c r="CK129" s="26"/>
      <c r="CL129" s="7"/>
      <c r="CM129" s="7"/>
      <c r="CN129" s="26"/>
      <c r="CO129" s="26"/>
      <c r="CP129" s="14"/>
      <c r="CQ129" s="7"/>
      <c r="CR129" s="7"/>
      <c r="CS129" s="7"/>
      <c r="CT129" s="7"/>
      <c r="CU129" s="7"/>
      <c r="CV129" s="7"/>
      <c r="CW129" s="7"/>
      <c r="CX129"/>
    </row>
    <row r="130" spans="2:102" x14ac:dyDescent="0.2">
      <c r="B130" s="26"/>
      <c r="C130" s="26"/>
      <c r="D130" s="14"/>
      <c r="E130" s="14"/>
      <c r="F130" s="74"/>
      <c r="G130" s="74"/>
      <c r="H130" s="14"/>
      <c r="I130" s="14"/>
      <c r="J130" s="74"/>
      <c r="K130" s="74"/>
      <c r="L130" s="14"/>
      <c r="M130" s="14"/>
      <c r="N130" s="74"/>
      <c r="O130" s="74"/>
      <c r="P130" s="14"/>
      <c r="Q130" s="14"/>
      <c r="R130" s="74"/>
      <c r="S130" s="74"/>
      <c r="T130" s="14"/>
      <c r="U130" s="14"/>
      <c r="V130" s="74"/>
      <c r="W130" s="74"/>
      <c r="X130" s="14"/>
      <c r="Y130" s="14"/>
      <c r="Z130" s="74"/>
      <c r="AA130" s="14"/>
      <c r="AB130" s="14"/>
      <c r="AC130" s="74"/>
      <c r="AD130" s="74"/>
      <c r="AE130" s="14"/>
      <c r="AF130" s="14"/>
      <c r="AG130" s="74"/>
      <c r="AH130" s="74"/>
      <c r="AI130" s="14"/>
      <c r="AJ130" s="14"/>
      <c r="AK130" s="74"/>
      <c r="AL130" s="74"/>
      <c r="AM130" s="14"/>
      <c r="AN130" s="14"/>
      <c r="AO130" s="74"/>
      <c r="AP130" s="74"/>
      <c r="AQ130" s="14"/>
      <c r="AR130" s="14"/>
      <c r="AS130" s="74"/>
      <c r="AT130" s="74"/>
      <c r="AU130" s="14"/>
      <c r="AV130" s="14"/>
      <c r="AW130" s="74"/>
      <c r="AX130" s="74"/>
      <c r="AY130" s="14"/>
      <c r="AZ130" s="14"/>
      <c r="BA130" s="74"/>
      <c r="BB130" s="74"/>
      <c r="BC130" s="14"/>
      <c r="BD130" s="14"/>
      <c r="BE130" s="74"/>
      <c r="BF130" s="74"/>
      <c r="BG130" s="14"/>
      <c r="BH130" s="14"/>
      <c r="BI130" s="74"/>
      <c r="BJ130" s="74"/>
      <c r="BK130" s="14"/>
      <c r="BL130" s="7"/>
      <c r="BM130" s="26"/>
      <c r="BN130" s="26"/>
      <c r="BO130" s="7"/>
      <c r="BP130" s="7"/>
      <c r="BQ130" s="26"/>
      <c r="BR130" s="26"/>
      <c r="BS130" s="7"/>
      <c r="BT130" s="7"/>
      <c r="BU130" s="26"/>
      <c r="BV130" s="26"/>
      <c r="BW130" s="7"/>
      <c r="BX130" s="7"/>
      <c r="BY130" s="26"/>
      <c r="BZ130" s="7"/>
      <c r="CA130" s="7"/>
      <c r="CB130" s="26"/>
      <c r="CC130" s="7"/>
      <c r="CD130" s="7"/>
      <c r="CE130" s="26"/>
      <c r="CF130" s="7"/>
      <c r="CG130" s="7"/>
      <c r="CH130" s="26"/>
      <c r="CI130" s="7"/>
      <c r="CJ130" s="7"/>
      <c r="CK130" s="26"/>
      <c r="CL130" s="7"/>
      <c r="CM130" s="7"/>
      <c r="CN130" s="26"/>
      <c r="CO130" s="26"/>
      <c r="CP130" s="14"/>
      <c r="CQ130" s="7"/>
      <c r="CR130" s="7"/>
      <c r="CS130" s="7"/>
      <c r="CT130" s="7"/>
      <c r="CU130" s="7"/>
      <c r="CV130" s="7"/>
      <c r="CW130" s="7"/>
      <c r="CX130"/>
    </row>
    <row r="131" spans="2:102" x14ac:dyDescent="0.2">
      <c r="B131" s="26"/>
      <c r="C131" s="26"/>
      <c r="D131" s="14"/>
      <c r="E131" s="14"/>
      <c r="F131" s="74"/>
      <c r="G131" s="74"/>
      <c r="H131" s="14"/>
      <c r="I131" s="14"/>
      <c r="J131" s="74"/>
      <c r="K131" s="74"/>
      <c r="L131" s="14"/>
      <c r="M131" s="14"/>
      <c r="N131" s="74"/>
      <c r="O131" s="74"/>
      <c r="P131" s="14"/>
      <c r="Q131" s="14"/>
      <c r="R131" s="74"/>
      <c r="S131" s="74"/>
      <c r="T131" s="14"/>
      <c r="U131" s="14"/>
      <c r="V131" s="74"/>
      <c r="W131" s="74"/>
      <c r="X131" s="14"/>
      <c r="Y131" s="14"/>
      <c r="Z131" s="74"/>
      <c r="AA131" s="14"/>
      <c r="AB131" s="14"/>
      <c r="AC131" s="74"/>
      <c r="AD131" s="74"/>
      <c r="AE131" s="14"/>
      <c r="AF131" s="14"/>
      <c r="AG131" s="74"/>
      <c r="AH131" s="74"/>
      <c r="AI131" s="14"/>
      <c r="AJ131" s="14"/>
      <c r="AK131" s="74"/>
      <c r="AL131" s="74"/>
      <c r="AM131" s="14"/>
      <c r="AN131" s="14"/>
      <c r="AO131" s="74"/>
      <c r="AP131" s="74"/>
      <c r="AQ131" s="14"/>
      <c r="AR131" s="14"/>
      <c r="AS131" s="74"/>
      <c r="AT131" s="74"/>
      <c r="AU131" s="14"/>
      <c r="AV131" s="14"/>
      <c r="AW131" s="74"/>
      <c r="AX131" s="74"/>
      <c r="AY131" s="14"/>
      <c r="AZ131" s="14"/>
      <c r="BA131" s="74"/>
      <c r="BB131" s="74"/>
      <c r="BC131" s="14"/>
      <c r="BD131" s="14"/>
      <c r="BE131" s="74"/>
      <c r="BF131" s="74"/>
      <c r="BG131" s="14"/>
      <c r="BH131" s="14"/>
      <c r="BI131" s="74"/>
      <c r="BJ131" s="74"/>
      <c r="BK131" s="14"/>
      <c r="BL131" s="7"/>
      <c r="BM131" s="26"/>
      <c r="BN131" s="26"/>
      <c r="BO131" s="7"/>
      <c r="BP131" s="7"/>
      <c r="BQ131" s="26"/>
      <c r="BR131" s="26"/>
      <c r="BS131" s="7"/>
      <c r="BT131" s="7"/>
      <c r="BU131" s="26"/>
      <c r="BV131" s="26"/>
      <c r="BW131" s="7"/>
      <c r="BX131" s="7"/>
      <c r="BY131" s="26"/>
      <c r="BZ131" s="7"/>
      <c r="CA131" s="7"/>
      <c r="CB131" s="26"/>
      <c r="CC131" s="7"/>
      <c r="CD131" s="7"/>
      <c r="CE131" s="26"/>
      <c r="CF131" s="7"/>
      <c r="CG131" s="7"/>
      <c r="CH131" s="26"/>
      <c r="CI131" s="7"/>
      <c r="CJ131" s="7"/>
      <c r="CK131" s="26"/>
      <c r="CL131" s="7"/>
      <c r="CM131" s="7"/>
      <c r="CN131" s="26"/>
      <c r="CO131" s="26"/>
      <c r="CP131" s="14"/>
      <c r="CQ131" s="7"/>
      <c r="CR131" s="7"/>
      <c r="CS131" s="7"/>
      <c r="CT131" s="7"/>
      <c r="CU131" s="7"/>
      <c r="CV131" s="7"/>
      <c r="CW131" s="7"/>
      <c r="CX131"/>
    </row>
    <row r="132" spans="2:102" x14ac:dyDescent="0.2">
      <c r="B132" s="26"/>
      <c r="C132" s="26"/>
      <c r="D132" s="14"/>
      <c r="E132" s="14"/>
      <c r="F132" s="74"/>
      <c r="G132" s="74"/>
      <c r="H132" s="14"/>
      <c r="I132" s="14"/>
      <c r="J132" s="74"/>
      <c r="K132" s="74"/>
      <c r="L132" s="14"/>
      <c r="M132" s="14"/>
      <c r="N132" s="74"/>
      <c r="O132" s="74"/>
      <c r="P132" s="14"/>
      <c r="Q132" s="14"/>
      <c r="R132" s="74"/>
      <c r="S132" s="74"/>
      <c r="T132" s="14"/>
      <c r="U132" s="14"/>
      <c r="V132" s="74"/>
      <c r="W132" s="74"/>
      <c r="X132" s="14"/>
      <c r="Y132" s="14"/>
      <c r="Z132" s="74"/>
      <c r="AA132" s="14"/>
      <c r="AB132" s="14"/>
      <c r="AC132" s="74"/>
      <c r="AD132" s="74"/>
      <c r="AE132" s="14"/>
      <c r="AF132" s="14"/>
      <c r="AG132" s="74"/>
      <c r="AH132" s="74"/>
      <c r="AI132" s="14"/>
      <c r="AJ132" s="14"/>
      <c r="AK132" s="74"/>
      <c r="AL132" s="74"/>
      <c r="AM132" s="14"/>
      <c r="AN132" s="14"/>
      <c r="AO132" s="74"/>
      <c r="AP132" s="74"/>
      <c r="AQ132" s="14"/>
      <c r="AR132" s="14"/>
      <c r="AS132" s="74"/>
      <c r="AT132" s="74"/>
      <c r="AU132" s="14"/>
      <c r="AV132" s="14"/>
      <c r="AW132" s="74"/>
      <c r="AX132" s="74"/>
      <c r="AY132" s="14"/>
      <c r="AZ132" s="14"/>
      <c r="BA132" s="74"/>
      <c r="BB132" s="74"/>
      <c r="BC132" s="14"/>
      <c r="BD132" s="14"/>
      <c r="BE132" s="74"/>
      <c r="BF132" s="74"/>
      <c r="BG132" s="14"/>
      <c r="BH132" s="14"/>
      <c r="BI132" s="74"/>
      <c r="BJ132" s="74"/>
      <c r="BK132" s="14"/>
      <c r="BL132" s="7"/>
      <c r="BM132" s="26"/>
      <c r="BN132" s="26"/>
      <c r="BO132" s="7"/>
      <c r="BP132" s="7"/>
      <c r="BQ132" s="26"/>
      <c r="BR132" s="26"/>
      <c r="BS132" s="7"/>
      <c r="BT132" s="7"/>
      <c r="BU132" s="26"/>
      <c r="BV132" s="26"/>
      <c r="BW132" s="7"/>
      <c r="BX132" s="7"/>
      <c r="BY132" s="26"/>
      <c r="BZ132" s="7"/>
      <c r="CA132" s="7"/>
      <c r="CB132" s="26"/>
      <c r="CC132" s="7"/>
      <c r="CD132" s="7"/>
      <c r="CE132" s="26"/>
      <c r="CF132" s="7"/>
      <c r="CG132" s="7"/>
      <c r="CH132" s="26"/>
      <c r="CI132" s="7"/>
      <c r="CJ132" s="7"/>
      <c r="CK132" s="26"/>
      <c r="CL132" s="7"/>
      <c r="CM132" s="7"/>
      <c r="CN132" s="26"/>
      <c r="CO132" s="26"/>
      <c r="CP132" s="14"/>
      <c r="CQ132" s="7"/>
      <c r="CR132" s="7"/>
      <c r="CS132" s="7"/>
      <c r="CT132" s="7"/>
      <c r="CU132" s="7"/>
      <c r="CV132" s="7"/>
      <c r="CW132" s="7"/>
      <c r="CX132"/>
    </row>
    <row r="133" spans="2:102" x14ac:dyDescent="0.2">
      <c r="B133" s="26"/>
      <c r="C133" s="26"/>
      <c r="D133" s="14"/>
      <c r="E133" s="14"/>
      <c r="F133" s="74"/>
      <c r="G133" s="74"/>
      <c r="H133" s="14"/>
      <c r="I133" s="14"/>
      <c r="J133" s="74"/>
      <c r="K133" s="74"/>
      <c r="L133" s="14"/>
      <c r="M133" s="14"/>
      <c r="N133" s="74"/>
      <c r="O133" s="74"/>
      <c r="P133" s="14"/>
      <c r="Q133" s="14"/>
      <c r="R133" s="74"/>
      <c r="S133" s="74"/>
      <c r="T133" s="14"/>
      <c r="U133" s="14"/>
      <c r="V133" s="74"/>
      <c r="W133" s="74"/>
      <c r="X133" s="14"/>
      <c r="Y133" s="14"/>
      <c r="Z133" s="74"/>
      <c r="AA133" s="14"/>
      <c r="AB133" s="14"/>
      <c r="AC133" s="74"/>
      <c r="AD133" s="74"/>
      <c r="AE133" s="14"/>
      <c r="AF133" s="14"/>
      <c r="AG133" s="74"/>
      <c r="AH133" s="74"/>
      <c r="AI133" s="14"/>
      <c r="AJ133" s="14"/>
      <c r="AK133" s="74"/>
      <c r="AL133" s="74"/>
      <c r="AM133" s="14"/>
      <c r="AN133" s="14"/>
      <c r="AO133" s="74"/>
      <c r="AP133" s="74"/>
      <c r="AQ133" s="14"/>
      <c r="AR133" s="14"/>
      <c r="AS133" s="74"/>
      <c r="AT133" s="74"/>
      <c r="AU133" s="14"/>
      <c r="AV133" s="14"/>
      <c r="AW133" s="74"/>
      <c r="AX133" s="74"/>
      <c r="AY133" s="14"/>
      <c r="AZ133" s="14"/>
      <c r="BA133" s="74"/>
      <c r="BB133" s="74"/>
      <c r="BC133" s="14"/>
      <c r="BD133" s="14"/>
      <c r="BE133" s="74"/>
      <c r="BF133" s="74"/>
      <c r="BG133" s="14"/>
      <c r="BH133" s="14"/>
      <c r="BI133" s="74"/>
      <c r="BJ133" s="74"/>
      <c r="BK133" s="14"/>
      <c r="BL133" s="7"/>
      <c r="BM133" s="26"/>
      <c r="BN133" s="26"/>
      <c r="BO133" s="7"/>
      <c r="BP133" s="7"/>
      <c r="BQ133" s="26"/>
      <c r="BR133" s="26"/>
      <c r="BS133" s="7"/>
      <c r="BT133" s="7"/>
      <c r="BU133" s="26"/>
      <c r="BV133" s="26"/>
      <c r="BW133" s="7"/>
      <c r="BX133" s="7"/>
      <c r="BY133" s="26"/>
      <c r="BZ133" s="7"/>
      <c r="CA133" s="7"/>
      <c r="CB133" s="26"/>
      <c r="CC133" s="7"/>
      <c r="CD133" s="7"/>
      <c r="CE133" s="26"/>
      <c r="CF133" s="7"/>
      <c r="CG133" s="7"/>
      <c r="CH133" s="26"/>
      <c r="CI133" s="7"/>
      <c r="CJ133" s="7"/>
      <c r="CK133" s="26"/>
      <c r="CL133" s="7"/>
      <c r="CM133" s="7"/>
      <c r="CN133" s="26"/>
      <c r="CO133" s="26"/>
      <c r="CP133" s="14"/>
      <c r="CQ133" s="7"/>
      <c r="CR133" s="7"/>
      <c r="CS133" s="7"/>
      <c r="CT133" s="7"/>
      <c r="CU133" s="7"/>
      <c r="CV133" s="7"/>
      <c r="CW133" s="7"/>
      <c r="CX133"/>
    </row>
    <row r="134" spans="2:102" x14ac:dyDescent="0.2">
      <c r="B134" s="26"/>
      <c r="C134" s="26"/>
      <c r="D134" s="14"/>
      <c r="E134" s="14"/>
      <c r="F134" s="74"/>
      <c r="G134" s="74"/>
      <c r="H134" s="14"/>
      <c r="I134" s="14"/>
      <c r="J134" s="74"/>
      <c r="K134" s="74"/>
      <c r="L134" s="14"/>
      <c r="M134" s="14"/>
      <c r="N134" s="74"/>
      <c r="O134" s="74"/>
      <c r="P134" s="14"/>
      <c r="Q134" s="14"/>
      <c r="R134" s="74"/>
      <c r="S134" s="74"/>
      <c r="T134" s="14"/>
      <c r="U134" s="14"/>
      <c r="V134" s="74"/>
      <c r="W134" s="74"/>
      <c r="X134" s="14"/>
      <c r="Y134" s="14"/>
      <c r="Z134" s="74"/>
      <c r="AA134" s="14"/>
      <c r="AB134" s="14"/>
      <c r="AC134" s="74"/>
      <c r="AD134" s="74"/>
      <c r="AE134" s="14"/>
      <c r="AF134" s="14"/>
      <c r="AG134" s="74"/>
      <c r="AH134" s="74"/>
      <c r="AI134" s="14"/>
      <c r="AJ134" s="14"/>
      <c r="AK134" s="74"/>
      <c r="AL134" s="74"/>
      <c r="AM134" s="14"/>
      <c r="AN134" s="14"/>
      <c r="AO134" s="74"/>
      <c r="AP134" s="74"/>
      <c r="AQ134" s="14"/>
      <c r="AR134" s="14"/>
      <c r="AS134" s="74"/>
      <c r="AT134" s="74"/>
      <c r="AU134" s="14"/>
      <c r="AV134" s="14"/>
      <c r="AW134" s="74"/>
      <c r="AX134" s="74"/>
      <c r="AY134" s="14"/>
      <c r="AZ134" s="14"/>
      <c r="BA134" s="74"/>
      <c r="BB134" s="74"/>
      <c r="BC134" s="14"/>
      <c r="BD134" s="14"/>
      <c r="BE134" s="74"/>
      <c r="BF134" s="74"/>
      <c r="BG134" s="14"/>
      <c r="BH134" s="14"/>
      <c r="BI134" s="74"/>
      <c r="BJ134" s="74"/>
      <c r="BK134" s="14"/>
      <c r="BL134" s="7"/>
      <c r="BM134" s="26"/>
      <c r="BN134" s="26"/>
      <c r="BO134" s="7"/>
      <c r="BP134" s="7"/>
      <c r="BQ134" s="26"/>
      <c r="BR134" s="26"/>
      <c r="BS134" s="7"/>
      <c r="BT134" s="7"/>
      <c r="BU134" s="26"/>
      <c r="BV134" s="26"/>
      <c r="BW134" s="7"/>
      <c r="BX134" s="7"/>
      <c r="BY134" s="26"/>
      <c r="BZ134" s="7"/>
      <c r="CA134" s="7"/>
      <c r="CB134" s="26"/>
      <c r="CC134" s="7"/>
      <c r="CD134" s="7"/>
      <c r="CE134" s="26"/>
      <c r="CF134" s="7"/>
      <c r="CG134" s="7"/>
      <c r="CH134" s="26"/>
      <c r="CI134" s="7"/>
      <c r="CJ134" s="7"/>
      <c r="CK134" s="26"/>
      <c r="CL134" s="7"/>
      <c r="CM134" s="7"/>
      <c r="CN134" s="26"/>
      <c r="CO134" s="26"/>
      <c r="CP134" s="14"/>
      <c r="CQ134" s="7"/>
      <c r="CR134" s="7"/>
      <c r="CS134" s="7"/>
      <c r="CT134" s="7"/>
      <c r="CU134" s="7"/>
      <c r="CV134" s="7"/>
      <c r="CW134" s="7"/>
      <c r="CX134"/>
    </row>
    <row r="135" spans="2:102" x14ac:dyDescent="0.2">
      <c r="B135" s="26"/>
      <c r="C135" s="26"/>
      <c r="D135" s="14"/>
      <c r="E135" s="14"/>
      <c r="F135" s="74"/>
      <c r="G135" s="74"/>
      <c r="H135" s="14"/>
      <c r="I135" s="14"/>
      <c r="J135" s="74"/>
      <c r="K135" s="74"/>
      <c r="L135" s="14"/>
      <c r="M135" s="14"/>
      <c r="N135" s="74"/>
      <c r="O135" s="74"/>
      <c r="P135" s="14"/>
      <c r="Q135" s="14"/>
      <c r="R135" s="74"/>
      <c r="S135" s="74"/>
      <c r="T135" s="14"/>
      <c r="U135" s="14"/>
      <c r="V135" s="74"/>
      <c r="W135" s="74"/>
      <c r="X135" s="14"/>
      <c r="Y135" s="14"/>
      <c r="Z135" s="74"/>
      <c r="AA135" s="14"/>
      <c r="AB135" s="14"/>
      <c r="AC135" s="74"/>
      <c r="AD135" s="74"/>
      <c r="AE135" s="14"/>
      <c r="AF135" s="14"/>
      <c r="AG135" s="74"/>
      <c r="AH135" s="74"/>
      <c r="AI135" s="14"/>
      <c r="AJ135" s="14"/>
      <c r="AK135" s="74"/>
      <c r="AL135" s="74"/>
      <c r="AM135" s="14"/>
      <c r="AN135" s="14"/>
      <c r="AO135" s="74"/>
      <c r="AP135" s="74"/>
      <c r="AQ135" s="14"/>
      <c r="AR135" s="14"/>
      <c r="AS135" s="74"/>
      <c r="AT135" s="74"/>
      <c r="AU135" s="14"/>
      <c r="AV135" s="14"/>
      <c r="AW135" s="74"/>
      <c r="AX135" s="74"/>
      <c r="AY135" s="14"/>
      <c r="AZ135" s="14"/>
      <c r="BA135" s="74"/>
      <c r="BB135" s="74"/>
      <c r="BC135" s="14"/>
      <c r="BD135" s="14"/>
      <c r="BE135" s="74"/>
      <c r="BF135" s="74"/>
      <c r="BG135" s="14"/>
      <c r="BH135" s="14"/>
      <c r="BI135" s="74"/>
      <c r="BJ135" s="74"/>
      <c r="BK135" s="14"/>
      <c r="BL135" s="7"/>
      <c r="BM135" s="26"/>
      <c r="BN135" s="26"/>
      <c r="BO135" s="7"/>
      <c r="BP135" s="7"/>
      <c r="BQ135" s="26"/>
      <c r="BR135" s="26"/>
      <c r="BS135" s="7"/>
      <c r="BT135" s="7"/>
      <c r="BU135" s="26"/>
      <c r="BV135" s="26"/>
      <c r="BW135" s="7"/>
      <c r="BX135" s="7"/>
      <c r="BY135" s="26"/>
      <c r="BZ135" s="7"/>
      <c r="CA135" s="7"/>
      <c r="CB135" s="26"/>
      <c r="CC135" s="7"/>
      <c r="CD135" s="7"/>
      <c r="CE135" s="26"/>
      <c r="CF135" s="7"/>
      <c r="CG135" s="7"/>
      <c r="CH135" s="26"/>
      <c r="CI135" s="7"/>
      <c r="CJ135" s="7"/>
      <c r="CK135" s="26"/>
      <c r="CL135" s="7"/>
      <c r="CM135" s="7"/>
      <c r="CN135" s="26"/>
      <c r="CO135" s="26"/>
      <c r="CP135" s="14"/>
      <c r="CQ135" s="7"/>
      <c r="CR135" s="7"/>
      <c r="CS135" s="7"/>
      <c r="CT135" s="7"/>
      <c r="CU135" s="7"/>
      <c r="CV135" s="7"/>
      <c r="CW135" s="7"/>
      <c r="CX135"/>
    </row>
    <row r="136" spans="2:102" x14ac:dyDescent="0.2">
      <c r="B136" s="26"/>
      <c r="C136" s="26"/>
      <c r="D136" s="14"/>
      <c r="E136" s="14"/>
      <c r="F136" s="74"/>
      <c r="G136" s="74"/>
      <c r="H136" s="14"/>
      <c r="I136" s="14"/>
      <c r="J136" s="74"/>
      <c r="K136" s="74"/>
      <c r="L136" s="14"/>
      <c r="M136" s="14"/>
      <c r="N136" s="74"/>
      <c r="O136" s="74"/>
      <c r="P136" s="14"/>
      <c r="Q136" s="14"/>
      <c r="R136" s="74"/>
      <c r="S136" s="74"/>
      <c r="T136" s="14"/>
      <c r="U136" s="14"/>
      <c r="V136" s="74"/>
      <c r="W136" s="74"/>
      <c r="X136" s="14"/>
      <c r="Y136" s="14"/>
      <c r="Z136" s="74"/>
      <c r="AA136" s="14"/>
      <c r="AB136" s="14"/>
      <c r="AC136" s="74"/>
      <c r="AD136" s="74"/>
      <c r="AE136" s="14"/>
      <c r="AF136" s="14"/>
      <c r="AG136" s="74"/>
      <c r="AH136" s="74"/>
      <c r="AI136" s="14"/>
      <c r="AJ136" s="14"/>
      <c r="AK136" s="74"/>
      <c r="AL136" s="74"/>
      <c r="AM136" s="14"/>
      <c r="AN136" s="14"/>
      <c r="AO136" s="74"/>
      <c r="AP136" s="74"/>
      <c r="AQ136" s="14"/>
      <c r="AR136" s="14"/>
      <c r="AS136" s="74"/>
      <c r="AT136" s="74"/>
      <c r="AU136" s="14"/>
      <c r="AV136" s="14"/>
      <c r="AW136" s="74"/>
      <c r="AX136" s="74"/>
      <c r="AY136" s="14"/>
      <c r="AZ136" s="14"/>
      <c r="BA136" s="74"/>
      <c r="BB136" s="74"/>
      <c r="BC136" s="14"/>
      <c r="BD136" s="14"/>
      <c r="BE136" s="74"/>
      <c r="BF136" s="74"/>
      <c r="BG136" s="14"/>
      <c r="BH136" s="14"/>
      <c r="BI136" s="74"/>
      <c r="BJ136" s="74"/>
      <c r="BK136" s="14"/>
      <c r="BL136" s="7"/>
      <c r="BM136" s="26"/>
      <c r="BN136" s="26"/>
      <c r="BO136" s="7"/>
      <c r="BP136" s="7"/>
      <c r="BQ136" s="26"/>
      <c r="BR136" s="26"/>
      <c r="BS136" s="7"/>
      <c r="BT136" s="7"/>
      <c r="BU136" s="26"/>
      <c r="BV136" s="26"/>
      <c r="BW136" s="7"/>
      <c r="BX136" s="7"/>
      <c r="BY136" s="26"/>
      <c r="BZ136" s="7"/>
      <c r="CA136" s="7"/>
      <c r="CB136" s="26"/>
      <c r="CC136" s="7"/>
      <c r="CD136" s="7"/>
      <c r="CE136" s="26"/>
      <c r="CF136" s="7"/>
      <c r="CG136" s="7"/>
      <c r="CH136" s="26"/>
      <c r="CI136" s="7"/>
      <c r="CJ136" s="7"/>
      <c r="CK136" s="26"/>
      <c r="CL136" s="7"/>
      <c r="CM136" s="7"/>
      <c r="CN136" s="26"/>
      <c r="CO136" s="26"/>
      <c r="CP136" s="14"/>
      <c r="CQ136" s="7"/>
      <c r="CR136" s="7"/>
      <c r="CS136" s="7"/>
      <c r="CT136" s="7"/>
      <c r="CU136" s="7"/>
      <c r="CV136" s="7"/>
      <c r="CW136" s="7"/>
      <c r="CX136"/>
    </row>
    <row r="137" spans="2:102" x14ac:dyDescent="0.2">
      <c r="B137" s="26"/>
      <c r="C137" s="26"/>
      <c r="D137" s="14"/>
      <c r="E137" s="14"/>
      <c r="F137" s="74"/>
      <c r="G137" s="74"/>
      <c r="H137" s="14"/>
      <c r="I137" s="14"/>
      <c r="J137" s="74"/>
      <c r="K137" s="74"/>
      <c r="L137" s="14"/>
      <c r="M137" s="14"/>
      <c r="N137" s="74"/>
      <c r="O137" s="74"/>
      <c r="P137" s="14"/>
      <c r="Q137" s="14"/>
      <c r="R137" s="74"/>
      <c r="S137" s="74"/>
      <c r="T137" s="14"/>
      <c r="U137" s="14"/>
      <c r="V137" s="74"/>
      <c r="W137" s="74"/>
      <c r="X137" s="14"/>
      <c r="Y137" s="14"/>
      <c r="Z137" s="74"/>
      <c r="AA137" s="14"/>
      <c r="AB137" s="14"/>
      <c r="AC137" s="74"/>
      <c r="AD137" s="74"/>
      <c r="AE137" s="14"/>
      <c r="AF137" s="14"/>
      <c r="AG137" s="74"/>
      <c r="AH137" s="74"/>
      <c r="AI137" s="14"/>
      <c r="AJ137" s="14"/>
      <c r="AK137" s="74"/>
      <c r="AL137" s="74"/>
      <c r="AM137" s="14"/>
      <c r="AN137" s="14"/>
      <c r="AO137" s="74"/>
      <c r="AP137" s="74"/>
      <c r="AQ137" s="14"/>
      <c r="AR137" s="14"/>
      <c r="AS137" s="74"/>
      <c r="AT137" s="74"/>
      <c r="AU137" s="14"/>
      <c r="AV137" s="14"/>
      <c r="AW137" s="74"/>
      <c r="AX137" s="74"/>
      <c r="AY137" s="14"/>
      <c r="AZ137" s="14"/>
      <c r="BA137" s="74"/>
      <c r="BB137" s="74"/>
      <c r="BC137" s="14"/>
      <c r="BD137" s="14"/>
      <c r="BE137" s="74"/>
      <c r="BF137" s="74"/>
      <c r="BG137" s="14"/>
      <c r="BH137" s="14"/>
      <c r="BI137" s="74"/>
      <c r="BJ137" s="74"/>
      <c r="BK137" s="14"/>
      <c r="BL137" s="7"/>
      <c r="BM137" s="26"/>
      <c r="BN137" s="26"/>
      <c r="BO137" s="7"/>
      <c r="BP137" s="7"/>
      <c r="BQ137" s="26"/>
      <c r="BR137" s="26"/>
      <c r="BS137" s="7"/>
      <c r="BT137" s="7"/>
      <c r="BU137" s="26"/>
      <c r="BV137" s="26"/>
      <c r="BW137" s="7"/>
      <c r="BX137" s="7"/>
      <c r="BY137" s="26"/>
      <c r="BZ137" s="7"/>
      <c r="CA137" s="7"/>
      <c r="CB137" s="26"/>
      <c r="CC137" s="7"/>
      <c r="CD137" s="7"/>
      <c r="CE137" s="26"/>
      <c r="CF137" s="7"/>
      <c r="CG137" s="7"/>
      <c r="CH137" s="26"/>
      <c r="CI137" s="7"/>
      <c r="CJ137" s="7"/>
      <c r="CK137" s="26"/>
      <c r="CL137" s="7"/>
      <c r="CM137" s="7"/>
      <c r="CN137" s="26"/>
      <c r="CO137" s="26"/>
      <c r="CP137" s="14"/>
      <c r="CQ137" s="7"/>
      <c r="CR137" s="7"/>
      <c r="CS137" s="7"/>
      <c r="CT137" s="7"/>
      <c r="CU137" s="7"/>
      <c r="CV137" s="7"/>
      <c r="CW137" s="7"/>
      <c r="CX137"/>
    </row>
    <row r="138" spans="2:102" x14ac:dyDescent="0.2">
      <c r="B138" s="26"/>
      <c r="C138" s="26"/>
      <c r="D138" s="14"/>
      <c r="E138" s="14"/>
      <c r="F138" s="74"/>
      <c r="G138" s="74"/>
      <c r="H138" s="14"/>
      <c r="I138" s="14"/>
      <c r="J138" s="74"/>
      <c r="K138" s="74"/>
      <c r="L138" s="14"/>
      <c r="M138" s="14"/>
      <c r="N138" s="74"/>
      <c r="O138" s="74"/>
      <c r="P138" s="14"/>
      <c r="Q138" s="14"/>
      <c r="R138" s="74"/>
      <c r="S138" s="74"/>
      <c r="T138" s="14"/>
      <c r="U138" s="14"/>
      <c r="V138" s="74"/>
      <c r="W138" s="74"/>
      <c r="X138" s="14"/>
      <c r="Y138" s="14"/>
      <c r="Z138" s="74"/>
      <c r="AA138" s="14"/>
      <c r="AB138" s="14"/>
      <c r="AC138" s="74"/>
      <c r="AD138" s="74"/>
      <c r="AE138" s="14"/>
      <c r="AF138" s="14"/>
      <c r="AG138" s="74"/>
      <c r="AH138" s="74"/>
      <c r="AI138" s="14"/>
      <c r="AJ138" s="14"/>
      <c r="AK138" s="74"/>
      <c r="AL138" s="74"/>
      <c r="AM138" s="14"/>
      <c r="AN138" s="14"/>
      <c r="AO138" s="74"/>
      <c r="AP138" s="74"/>
      <c r="AQ138" s="14"/>
      <c r="AR138" s="14"/>
      <c r="AS138" s="74"/>
      <c r="AT138" s="74"/>
      <c r="AU138" s="14"/>
      <c r="AV138" s="14"/>
      <c r="AW138" s="74"/>
      <c r="AX138" s="74"/>
      <c r="AY138" s="14"/>
      <c r="AZ138" s="14"/>
      <c r="BA138" s="74"/>
      <c r="BB138" s="74"/>
      <c r="BC138" s="14"/>
      <c r="BD138" s="14"/>
      <c r="BE138" s="74"/>
      <c r="BF138" s="74"/>
      <c r="BG138" s="14"/>
      <c r="BH138" s="14"/>
      <c r="BI138" s="74"/>
      <c r="BJ138" s="74"/>
      <c r="BK138" s="14"/>
      <c r="BL138" s="7"/>
      <c r="BM138" s="26"/>
      <c r="BN138" s="26"/>
      <c r="BO138" s="7"/>
      <c r="BP138" s="7"/>
      <c r="BQ138" s="26"/>
      <c r="BR138" s="26"/>
      <c r="BS138" s="7"/>
      <c r="BT138" s="7"/>
      <c r="BU138" s="26"/>
      <c r="BV138" s="26"/>
      <c r="BW138" s="7"/>
      <c r="BX138" s="7"/>
      <c r="BY138" s="26"/>
      <c r="BZ138" s="7"/>
      <c r="CA138" s="7"/>
      <c r="CB138" s="26"/>
      <c r="CC138" s="7"/>
      <c r="CD138" s="7"/>
      <c r="CE138" s="26"/>
      <c r="CF138" s="7"/>
      <c r="CG138" s="7"/>
      <c r="CH138" s="26"/>
      <c r="CI138" s="7"/>
      <c r="CJ138" s="7"/>
      <c r="CK138" s="26"/>
      <c r="CL138" s="7"/>
      <c r="CM138" s="7"/>
      <c r="CN138" s="26"/>
      <c r="CO138" s="26"/>
      <c r="CP138" s="14"/>
      <c r="CQ138" s="7"/>
      <c r="CR138" s="7"/>
      <c r="CS138" s="7"/>
      <c r="CT138" s="7"/>
      <c r="CU138" s="7"/>
      <c r="CV138" s="7"/>
      <c r="CW138" s="7"/>
      <c r="CX138"/>
    </row>
    <row r="139" spans="2:102" x14ac:dyDescent="0.2">
      <c r="B139" s="26"/>
      <c r="C139" s="26"/>
      <c r="D139" s="14"/>
      <c r="E139" s="14"/>
      <c r="F139" s="74"/>
      <c r="G139" s="74"/>
      <c r="H139" s="14"/>
      <c r="I139" s="14"/>
      <c r="J139" s="74"/>
      <c r="K139" s="74"/>
      <c r="L139" s="14"/>
      <c r="M139" s="14"/>
      <c r="N139" s="74"/>
      <c r="O139" s="74"/>
      <c r="P139" s="14"/>
      <c r="Q139" s="14"/>
      <c r="R139" s="74"/>
      <c r="S139" s="74"/>
      <c r="T139" s="14"/>
      <c r="U139" s="14"/>
      <c r="V139" s="74"/>
      <c r="W139" s="74"/>
      <c r="X139" s="14"/>
      <c r="Y139" s="14"/>
      <c r="Z139" s="74"/>
      <c r="AA139" s="14"/>
      <c r="AB139" s="14"/>
      <c r="AC139" s="74"/>
      <c r="AD139" s="74"/>
      <c r="AE139" s="14"/>
      <c r="AF139" s="14"/>
      <c r="AG139" s="74"/>
      <c r="AH139" s="74"/>
      <c r="AI139" s="14"/>
      <c r="AJ139" s="14"/>
      <c r="AK139" s="74"/>
      <c r="AL139" s="74"/>
      <c r="AM139" s="14"/>
      <c r="AN139" s="14"/>
      <c r="AO139" s="74"/>
      <c r="AP139" s="74"/>
      <c r="AQ139" s="14"/>
      <c r="AR139" s="14"/>
      <c r="AS139" s="74"/>
      <c r="AT139" s="74"/>
      <c r="AU139" s="14"/>
      <c r="AV139" s="14"/>
      <c r="AW139" s="74"/>
      <c r="AX139" s="74"/>
      <c r="AY139" s="14"/>
      <c r="AZ139" s="14"/>
      <c r="BA139" s="74"/>
      <c r="BB139" s="74"/>
      <c r="BC139" s="14"/>
      <c r="BD139" s="14"/>
      <c r="BE139" s="74"/>
      <c r="BF139" s="74"/>
      <c r="BG139" s="14"/>
      <c r="BH139" s="14"/>
      <c r="BI139" s="74"/>
      <c r="BJ139" s="74"/>
      <c r="BK139" s="14"/>
      <c r="BL139" s="7"/>
      <c r="BM139" s="26"/>
      <c r="BN139" s="26"/>
      <c r="BO139" s="7"/>
      <c r="BP139" s="7"/>
      <c r="BQ139" s="26"/>
      <c r="BR139" s="26"/>
      <c r="BS139" s="7"/>
      <c r="BT139" s="7"/>
      <c r="BU139" s="26"/>
      <c r="BV139" s="26"/>
      <c r="BW139" s="7"/>
      <c r="BX139" s="7"/>
      <c r="BY139" s="26"/>
      <c r="BZ139" s="7"/>
      <c r="CA139" s="7"/>
      <c r="CB139" s="26"/>
      <c r="CC139" s="7"/>
      <c r="CD139" s="7"/>
      <c r="CE139" s="26"/>
      <c r="CF139" s="7"/>
      <c r="CG139" s="7"/>
      <c r="CH139" s="26"/>
      <c r="CI139" s="7"/>
      <c r="CJ139" s="7"/>
      <c r="CK139" s="26"/>
      <c r="CL139" s="7"/>
      <c r="CM139" s="7"/>
      <c r="CN139" s="26"/>
      <c r="CO139" s="26"/>
      <c r="CP139" s="14"/>
      <c r="CQ139" s="7"/>
      <c r="CR139" s="7"/>
      <c r="CS139" s="7"/>
      <c r="CT139" s="7"/>
      <c r="CU139" s="7"/>
      <c r="CV139" s="7"/>
      <c r="CW139" s="7"/>
      <c r="CX139"/>
    </row>
    <row r="140" spans="2:102" x14ac:dyDescent="0.2">
      <c r="B140" s="26"/>
      <c r="C140" s="26"/>
      <c r="D140" s="14"/>
      <c r="E140" s="14"/>
      <c r="F140" s="74"/>
      <c r="G140" s="74"/>
      <c r="H140" s="14"/>
      <c r="I140" s="14"/>
      <c r="J140" s="74"/>
      <c r="K140" s="74"/>
      <c r="L140" s="14"/>
      <c r="M140" s="14"/>
      <c r="N140" s="74"/>
      <c r="O140" s="74"/>
      <c r="P140" s="14"/>
      <c r="Q140" s="14"/>
      <c r="R140" s="74"/>
      <c r="S140" s="74"/>
      <c r="T140" s="14"/>
      <c r="U140" s="14"/>
      <c r="V140" s="74"/>
      <c r="W140" s="74"/>
      <c r="X140" s="14"/>
      <c r="Y140" s="14"/>
      <c r="Z140" s="74"/>
      <c r="AA140" s="14"/>
      <c r="AB140" s="14"/>
      <c r="AC140" s="74"/>
      <c r="AD140" s="74"/>
      <c r="AE140" s="14"/>
      <c r="AF140" s="14"/>
      <c r="AG140" s="74"/>
      <c r="AH140" s="74"/>
      <c r="AI140" s="14"/>
      <c r="AJ140" s="14"/>
      <c r="AK140" s="74"/>
      <c r="AL140" s="74"/>
      <c r="AM140" s="14"/>
      <c r="AN140" s="14"/>
      <c r="AO140" s="74"/>
      <c r="AP140" s="74"/>
      <c r="AQ140" s="14"/>
      <c r="AR140" s="14"/>
      <c r="AS140" s="74"/>
      <c r="AT140" s="74"/>
      <c r="AU140" s="14"/>
      <c r="AV140" s="14"/>
      <c r="AW140" s="74"/>
      <c r="AX140" s="74"/>
      <c r="AY140" s="14"/>
      <c r="AZ140" s="14"/>
      <c r="BA140" s="74"/>
      <c r="BB140" s="74"/>
      <c r="BC140" s="14"/>
      <c r="BD140" s="14"/>
      <c r="BE140" s="74"/>
      <c r="BF140" s="74"/>
      <c r="BG140" s="14"/>
      <c r="BH140" s="14"/>
      <c r="BI140" s="74"/>
      <c r="BJ140" s="74"/>
      <c r="BK140" s="14"/>
      <c r="BL140" s="7"/>
      <c r="BM140" s="26"/>
      <c r="BN140" s="26"/>
      <c r="BO140" s="7"/>
      <c r="BP140" s="7"/>
      <c r="BQ140" s="26"/>
      <c r="BR140" s="26"/>
      <c r="BS140" s="7"/>
      <c r="BT140" s="7"/>
      <c r="BU140" s="26"/>
      <c r="BV140" s="26"/>
      <c r="BW140" s="7"/>
      <c r="BX140" s="7"/>
      <c r="BY140" s="26"/>
      <c r="BZ140" s="7"/>
      <c r="CA140" s="7"/>
      <c r="CB140" s="26"/>
      <c r="CC140" s="7"/>
      <c r="CD140" s="7"/>
      <c r="CE140" s="26"/>
      <c r="CF140" s="7"/>
      <c r="CG140" s="7"/>
      <c r="CH140" s="26"/>
      <c r="CI140" s="7"/>
      <c r="CJ140" s="7"/>
      <c r="CK140" s="26"/>
      <c r="CL140" s="7"/>
      <c r="CM140" s="7"/>
      <c r="CN140" s="26"/>
      <c r="CO140" s="26"/>
      <c r="CP140" s="14"/>
      <c r="CQ140" s="7"/>
      <c r="CR140" s="7"/>
      <c r="CS140" s="7"/>
      <c r="CT140" s="7"/>
      <c r="CU140" s="7"/>
      <c r="CV140" s="7"/>
      <c r="CW140" s="7"/>
      <c r="CX140"/>
    </row>
    <row r="141" spans="2:102" x14ac:dyDescent="0.2">
      <c r="B141" s="26"/>
      <c r="C141" s="26"/>
      <c r="D141" s="14"/>
      <c r="E141" s="14"/>
      <c r="F141" s="74"/>
      <c r="G141" s="74"/>
      <c r="H141" s="14"/>
      <c r="I141" s="14"/>
      <c r="J141" s="74"/>
      <c r="K141" s="74"/>
      <c r="L141" s="14"/>
      <c r="M141" s="14"/>
      <c r="N141" s="74"/>
      <c r="O141" s="74"/>
      <c r="P141" s="14"/>
      <c r="Q141" s="14"/>
      <c r="R141" s="74"/>
      <c r="S141" s="74"/>
      <c r="T141" s="14"/>
      <c r="U141" s="14"/>
      <c r="V141" s="74"/>
      <c r="W141" s="74"/>
      <c r="X141" s="14"/>
      <c r="Y141" s="14"/>
      <c r="Z141" s="74"/>
      <c r="AA141" s="14"/>
      <c r="AB141" s="14"/>
      <c r="AC141" s="74"/>
      <c r="AD141" s="74"/>
      <c r="AE141" s="14"/>
      <c r="AF141" s="14"/>
      <c r="AG141" s="74"/>
      <c r="AH141" s="74"/>
      <c r="AI141" s="14"/>
      <c r="AJ141" s="14"/>
      <c r="AK141" s="74"/>
      <c r="AL141" s="74"/>
      <c r="AM141" s="14"/>
      <c r="AN141" s="14"/>
      <c r="AO141" s="74"/>
      <c r="AP141" s="74"/>
      <c r="AQ141" s="14"/>
      <c r="AR141" s="14"/>
      <c r="AS141" s="74"/>
      <c r="AT141" s="74"/>
      <c r="AU141" s="14"/>
      <c r="AV141" s="14"/>
      <c r="AW141" s="74"/>
      <c r="AX141" s="74"/>
      <c r="AY141" s="14"/>
      <c r="AZ141" s="14"/>
      <c r="BA141" s="74"/>
      <c r="BB141" s="74"/>
      <c r="BC141" s="14"/>
      <c r="BD141" s="14"/>
      <c r="BE141" s="74"/>
      <c r="BF141" s="74"/>
      <c r="BG141" s="14"/>
      <c r="BH141" s="14"/>
      <c r="BI141" s="74"/>
      <c r="BJ141" s="74"/>
      <c r="BK141" s="14"/>
      <c r="BL141" s="7"/>
      <c r="BM141" s="26"/>
      <c r="BN141" s="26"/>
      <c r="BO141" s="7"/>
      <c r="BP141" s="7"/>
      <c r="BQ141" s="26"/>
      <c r="BR141" s="26"/>
      <c r="BS141" s="7"/>
      <c r="BT141" s="7"/>
      <c r="BU141" s="26"/>
      <c r="BV141" s="26"/>
      <c r="BW141" s="7"/>
      <c r="BX141" s="7"/>
      <c r="BY141" s="26"/>
      <c r="BZ141" s="7"/>
      <c r="CA141" s="7"/>
      <c r="CB141" s="26"/>
      <c r="CC141" s="7"/>
      <c r="CD141" s="7"/>
      <c r="CE141" s="26"/>
      <c r="CF141" s="7"/>
      <c r="CG141" s="7"/>
      <c r="CH141" s="26"/>
      <c r="CI141" s="7"/>
      <c r="CJ141" s="7"/>
      <c r="CK141" s="26"/>
      <c r="CL141" s="7"/>
      <c r="CM141" s="7"/>
      <c r="CN141" s="26"/>
      <c r="CO141" s="26"/>
      <c r="CP141" s="14"/>
      <c r="CQ141" s="7"/>
      <c r="CR141" s="7"/>
      <c r="CS141" s="7"/>
      <c r="CT141" s="7"/>
      <c r="CU141" s="7"/>
      <c r="CV141" s="7"/>
      <c r="CW141" s="7"/>
      <c r="CX141"/>
    </row>
    <row r="142" spans="2:102" x14ac:dyDescent="0.2">
      <c r="B142" s="26"/>
      <c r="C142" s="26"/>
      <c r="D142" s="14"/>
      <c r="E142" s="14"/>
      <c r="F142" s="74"/>
      <c r="G142" s="74"/>
      <c r="H142" s="14"/>
      <c r="I142" s="14"/>
      <c r="J142" s="74"/>
      <c r="K142" s="74"/>
      <c r="L142" s="14"/>
      <c r="M142" s="14"/>
      <c r="N142" s="74"/>
      <c r="O142" s="74"/>
      <c r="P142" s="14"/>
      <c r="Q142" s="14"/>
      <c r="R142" s="74"/>
      <c r="S142" s="74"/>
      <c r="T142" s="14"/>
      <c r="U142" s="14"/>
      <c r="V142" s="74"/>
      <c r="W142" s="74"/>
      <c r="X142" s="14"/>
      <c r="Y142" s="14"/>
      <c r="Z142" s="74"/>
      <c r="AA142" s="14"/>
      <c r="AB142" s="14"/>
      <c r="AC142" s="74"/>
      <c r="AD142" s="74"/>
      <c r="AE142" s="14"/>
      <c r="AF142" s="14"/>
      <c r="AG142" s="74"/>
      <c r="AH142" s="74"/>
      <c r="AI142" s="14"/>
      <c r="AJ142" s="14"/>
      <c r="AK142" s="74"/>
      <c r="AL142" s="74"/>
      <c r="AM142" s="14"/>
      <c r="AN142" s="14"/>
      <c r="AO142" s="74"/>
      <c r="AP142" s="74"/>
      <c r="AQ142" s="14"/>
      <c r="AR142" s="14"/>
      <c r="AS142" s="74"/>
      <c r="AT142" s="74"/>
      <c r="AU142" s="14"/>
      <c r="AV142" s="14"/>
      <c r="AW142" s="74"/>
      <c r="AX142" s="74"/>
      <c r="AY142" s="14"/>
      <c r="AZ142" s="14"/>
      <c r="BA142" s="74"/>
      <c r="BB142" s="74"/>
      <c r="BC142" s="14"/>
      <c r="BD142" s="14"/>
      <c r="BE142" s="74"/>
      <c r="BF142" s="74"/>
      <c r="BG142" s="14"/>
      <c r="BH142" s="14"/>
      <c r="BI142" s="74"/>
      <c r="BJ142" s="74"/>
      <c r="BK142" s="14"/>
      <c r="BL142" s="7"/>
      <c r="BM142" s="26"/>
      <c r="BN142" s="26"/>
      <c r="BO142" s="7"/>
      <c r="BP142" s="7"/>
      <c r="BQ142" s="26"/>
      <c r="BR142" s="26"/>
      <c r="BS142" s="7"/>
      <c r="BT142" s="7"/>
      <c r="BU142" s="26"/>
      <c r="BV142" s="26"/>
      <c r="BW142" s="7"/>
      <c r="BX142" s="7"/>
      <c r="BY142" s="26"/>
      <c r="BZ142" s="7"/>
      <c r="CA142" s="7"/>
      <c r="CB142" s="26"/>
      <c r="CC142" s="7"/>
      <c r="CD142" s="7"/>
      <c r="CE142" s="26"/>
      <c r="CF142" s="7"/>
      <c r="CG142" s="7"/>
      <c r="CH142" s="26"/>
      <c r="CI142" s="7"/>
      <c r="CJ142" s="7"/>
      <c r="CK142" s="26"/>
      <c r="CL142" s="7"/>
      <c r="CM142" s="7"/>
      <c r="CN142" s="26"/>
      <c r="CO142" s="26"/>
      <c r="CP142" s="14"/>
      <c r="CQ142" s="7"/>
      <c r="CR142" s="7"/>
      <c r="CS142" s="7"/>
      <c r="CT142" s="7"/>
      <c r="CU142" s="7"/>
      <c r="CV142" s="7"/>
      <c r="CW142" s="7"/>
      <c r="CX142"/>
    </row>
    <row r="143" spans="2:102" x14ac:dyDescent="0.2">
      <c r="B143" s="26"/>
      <c r="C143" s="26"/>
      <c r="D143" s="14"/>
      <c r="E143" s="14"/>
      <c r="F143" s="74"/>
      <c r="G143" s="74"/>
      <c r="H143" s="14"/>
      <c r="I143" s="14"/>
      <c r="J143" s="74"/>
      <c r="K143" s="74"/>
      <c r="L143" s="14"/>
      <c r="M143" s="14"/>
      <c r="N143" s="74"/>
      <c r="O143" s="74"/>
      <c r="P143" s="14"/>
      <c r="Q143" s="14"/>
      <c r="R143" s="74"/>
      <c r="S143" s="74"/>
      <c r="T143" s="14"/>
      <c r="U143" s="14"/>
      <c r="V143" s="74"/>
      <c r="W143" s="74"/>
      <c r="X143" s="14"/>
      <c r="Y143" s="14"/>
      <c r="Z143" s="74"/>
      <c r="AA143" s="14"/>
      <c r="AB143" s="14"/>
      <c r="AC143" s="74"/>
      <c r="AD143" s="74"/>
      <c r="AE143" s="14"/>
      <c r="AF143" s="14"/>
      <c r="AG143" s="74"/>
      <c r="AH143" s="74"/>
      <c r="AI143" s="14"/>
      <c r="AJ143" s="14"/>
      <c r="AK143" s="74"/>
      <c r="AL143" s="74"/>
      <c r="AM143" s="14"/>
      <c r="AN143" s="14"/>
      <c r="AO143" s="74"/>
      <c r="AP143" s="74"/>
      <c r="AQ143" s="14"/>
      <c r="AR143" s="14"/>
      <c r="AS143" s="74"/>
      <c r="AT143" s="74"/>
      <c r="AU143" s="14"/>
      <c r="AV143" s="14"/>
      <c r="AW143" s="74"/>
      <c r="AX143" s="74"/>
      <c r="AY143" s="14"/>
      <c r="AZ143" s="14"/>
      <c r="BA143" s="74"/>
      <c r="BB143" s="74"/>
      <c r="BC143" s="14"/>
      <c r="BD143" s="14"/>
      <c r="BE143" s="74"/>
      <c r="BF143" s="74"/>
      <c r="BG143" s="14"/>
      <c r="BH143" s="14"/>
      <c r="BI143" s="74"/>
      <c r="BJ143" s="74"/>
      <c r="BK143" s="14"/>
      <c r="BL143" s="7"/>
      <c r="BM143" s="26"/>
      <c r="BN143" s="26"/>
      <c r="BO143" s="7"/>
      <c r="BP143" s="7"/>
      <c r="BQ143" s="26"/>
      <c r="BR143" s="26"/>
      <c r="BS143" s="7"/>
      <c r="BT143" s="7"/>
      <c r="BU143" s="26"/>
      <c r="BV143" s="26"/>
      <c r="BW143" s="7"/>
      <c r="BX143" s="7"/>
      <c r="BY143" s="26"/>
      <c r="BZ143" s="7"/>
      <c r="CA143" s="7"/>
      <c r="CB143" s="26"/>
      <c r="CC143" s="7"/>
      <c r="CD143" s="7"/>
      <c r="CE143" s="26"/>
      <c r="CF143" s="7"/>
      <c r="CG143" s="7"/>
      <c r="CH143" s="26"/>
      <c r="CI143" s="7"/>
      <c r="CJ143" s="7"/>
      <c r="CK143" s="26"/>
      <c r="CL143" s="7"/>
      <c r="CM143" s="7"/>
      <c r="CN143" s="26"/>
      <c r="CO143" s="26"/>
      <c r="CP143" s="14"/>
      <c r="CQ143" s="7"/>
      <c r="CR143" s="7"/>
      <c r="CS143" s="7"/>
      <c r="CT143" s="7"/>
      <c r="CU143" s="7"/>
      <c r="CV143" s="7"/>
      <c r="CW143" s="7"/>
      <c r="CX143"/>
    </row>
    <row r="144" spans="2:102" x14ac:dyDescent="0.2">
      <c r="B144" s="26"/>
      <c r="C144" s="26"/>
      <c r="D144" s="14"/>
      <c r="E144" s="14"/>
      <c r="F144" s="74"/>
      <c r="G144" s="74"/>
      <c r="H144" s="14"/>
      <c r="I144" s="14"/>
      <c r="J144" s="74"/>
      <c r="K144" s="74"/>
      <c r="L144" s="14"/>
      <c r="M144" s="14"/>
      <c r="N144" s="74"/>
      <c r="O144" s="74"/>
      <c r="P144" s="14"/>
      <c r="Q144" s="14"/>
      <c r="R144" s="74"/>
      <c r="S144" s="74"/>
      <c r="T144" s="14"/>
      <c r="U144" s="14"/>
      <c r="V144" s="74"/>
      <c r="W144" s="74"/>
      <c r="X144" s="14"/>
      <c r="Y144" s="14"/>
      <c r="Z144" s="74"/>
      <c r="AA144" s="14"/>
      <c r="AB144" s="14"/>
      <c r="AC144" s="74"/>
      <c r="AD144" s="74"/>
      <c r="AE144" s="14"/>
      <c r="AF144" s="14"/>
      <c r="AG144" s="74"/>
      <c r="AH144" s="74"/>
      <c r="AI144" s="14"/>
      <c r="AJ144" s="14"/>
      <c r="AK144" s="74"/>
      <c r="AL144" s="74"/>
      <c r="AM144" s="14"/>
      <c r="AN144" s="14"/>
      <c r="AO144" s="74"/>
      <c r="AP144" s="74"/>
      <c r="AQ144" s="14"/>
      <c r="AR144" s="14"/>
      <c r="AS144" s="74"/>
      <c r="AT144" s="74"/>
      <c r="AU144" s="14"/>
      <c r="AV144" s="14"/>
      <c r="AW144" s="74"/>
      <c r="AX144" s="74"/>
      <c r="AY144" s="14"/>
      <c r="AZ144" s="14"/>
      <c r="BA144" s="74"/>
      <c r="BB144" s="74"/>
      <c r="BC144" s="14"/>
      <c r="BD144" s="14"/>
      <c r="BE144" s="74"/>
      <c r="BF144" s="74"/>
      <c r="BG144" s="14"/>
      <c r="BH144" s="14"/>
      <c r="BI144" s="74"/>
      <c r="BJ144" s="74"/>
      <c r="BK144" s="14"/>
      <c r="BL144" s="7"/>
      <c r="BM144" s="26"/>
      <c r="BN144" s="26"/>
      <c r="BO144" s="7"/>
      <c r="BP144" s="7"/>
      <c r="BQ144" s="26"/>
      <c r="BR144" s="26"/>
      <c r="BS144" s="7"/>
      <c r="BT144" s="7"/>
      <c r="BU144" s="26"/>
      <c r="BV144" s="26"/>
      <c r="BW144" s="7"/>
      <c r="BX144" s="7"/>
      <c r="BY144" s="26"/>
      <c r="BZ144" s="7"/>
      <c r="CA144" s="7"/>
      <c r="CB144" s="26"/>
      <c r="CC144" s="7"/>
      <c r="CD144" s="7"/>
      <c r="CE144" s="26"/>
      <c r="CF144" s="7"/>
      <c r="CG144" s="7"/>
      <c r="CH144" s="26"/>
      <c r="CI144" s="7"/>
      <c r="CJ144" s="7"/>
      <c r="CK144" s="26"/>
      <c r="CL144" s="7"/>
      <c r="CM144" s="7"/>
      <c r="CN144" s="26"/>
      <c r="CO144" s="26"/>
      <c r="CP144" s="14"/>
      <c r="CQ144" s="7"/>
      <c r="CR144" s="7"/>
      <c r="CS144" s="7"/>
      <c r="CT144" s="7"/>
      <c r="CU144" s="7"/>
      <c r="CV144" s="7"/>
      <c r="CW144" s="7"/>
      <c r="CX144"/>
    </row>
    <row r="145" spans="2:102" x14ac:dyDescent="0.2">
      <c r="B145" s="26"/>
      <c r="C145" s="26"/>
      <c r="F145" s="74"/>
      <c r="G145" s="74"/>
      <c r="J145" s="74"/>
      <c r="K145" s="74"/>
      <c r="N145" s="74"/>
      <c r="O145" s="74"/>
      <c r="R145" s="74"/>
      <c r="S145" s="74"/>
      <c r="V145" s="74"/>
      <c r="W145" s="74"/>
      <c r="Z145" s="74"/>
      <c r="AC145" s="74"/>
      <c r="AD145" s="74"/>
      <c r="AG145" s="74"/>
      <c r="AH145" s="74"/>
      <c r="AK145" s="74"/>
      <c r="AL145" s="74"/>
      <c r="AO145" s="74"/>
      <c r="AP145" s="74"/>
      <c r="AS145" s="74"/>
      <c r="AT145" s="74"/>
      <c r="AW145" s="74"/>
      <c r="AX145" s="74"/>
      <c r="BA145" s="74"/>
      <c r="BB145" s="74"/>
      <c r="BE145" s="74"/>
      <c r="BF145" s="74"/>
      <c r="BI145" s="74"/>
      <c r="BJ145" s="74"/>
      <c r="BM145" s="26"/>
      <c r="BN145" s="26"/>
      <c r="BQ145" s="26"/>
      <c r="BR145" s="26"/>
      <c r="BU145" s="26"/>
      <c r="BV145" s="26"/>
      <c r="BY145" s="26"/>
      <c r="CB145" s="26"/>
      <c r="CE145" s="26"/>
      <c r="CH145" s="26"/>
      <c r="CK145" s="26"/>
      <c r="CN145" s="26"/>
      <c r="CO145" s="26"/>
      <c r="CX145"/>
    </row>
    <row r="146" spans="2:102" x14ac:dyDescent="0.2">
      <c r="B146" s="26"/>
      <c r="C146" s="26"/>
      <c r="F146" s="74"/>
      <c r="G146" s="74"/>
      <c r="J146" s="74"/>
      <c r="K146" s="74"/>
      <c r="N146" s="74"/>
      <c r="O146" s="74"/>
      <c r="R146" s="74"/>
      <c r="S146" s="74"/>
      <c r="V146" s="74"/>
      <c r="W146" s="74"/>
      <c r="Z146" s="74"/>
      <c r="AC146" s="74"/>
      <c r="AD146" s="74"/>
      <c r="AG146" s="74"/>
      <c r="AH146" s="74"/>
      <c r="AK146" s="74"/>
      <c r="AL146" s="74"/>
      <c r="AO146" s="74"/>
      <c r="AP146" s="74"/>
      <c r="AS146" s="74"/>
      <c r="AT146" s="74"/>
      <c r="AW146" s="74"/>
      <c r="AX146" s="74"/>
      <c r="BA146" s="74"/>
      <c r="BB146" s="74"/>
      <c r="BE146" s="74"/>
      <c r="BF146" s="74"/>
      <c r="BI146" s="74"/>
      <c r="BJ146" s="74"/>
      <c r="BM146" s="26"/>
      <c r="BN146" s="26"/>
      <c r="BQ146" s="26"/>
      <c r="BR146" s="26"/>
      <c r="BU146" s="26"/>
      <c r="BV146" s="26"/>
      <c r="BY146" s="26"/>
      <c r="CB146" s="26"/>
      <c r="CE146" s="26"/>
      <c r="CH146" s="26"/>
      <c r="CK146" s="26"/>
      <c r="CN146" s="26"/>
      <c r="CO146" s="26"/>
      <c r="CX146"/>
    </row>
    <row r="147" spans="2:102" x14ac:dyDescent="0.2">
      <c r="B147" s="26"/>
      <c r="C147" s="26"/>
      <c r="F147" s="74"/>
      <c r="G147" s="74"/>
      <c r="J147" s="74"/>
      <c r="K147" s="74"/>
      <c r="N147" s="74"/>
      <c r="O147" s="74"/>
      <c r="R147" s="74"/>
      <c r="S147" s="74"/>
      <c r="V147" s="74"/>
      <c r="W147" s="74"/>
      <c r="Z147" s="74"/>
      <c r="AC147" s="74"/>
      <c r="AD147" s="74"/>
      <c r="AG147" s="74"/>
      <c r="AH147" s="74"/>
      <c r="AK147" s="74"/>
      <c r="AL147" s="74"/>
      <c r="AO147" s="74"/>
      <c r="AP147" s="74"/>
      <c r="AS147" s="74"/>
      <c r="AT147" s="74"/>
      <c r="AW147" s="74"/>
      <c r="AX147" s="74"/>
      <c r="BA147" s="74"/>
      <c r="BB147" s="74"/>
      <c r="BE147" s="74"/>
      <c r="BF147" s="74"/>
      <c r="BI147" s="74"/>
      <c r="BJ147" s="74"/>
      <c r="BM147" s="26"/>
      <c r="BN147" s="26"/>
      <c r="BQ147" s="26"/>
      <c r="BR147" s="26"/>
      <c r="BU147" s="26"/>
      <c r="BV147" s="26"/>
      <c r="BY147" s="26"/>
      <c r="CB147" s="26"/>
      <c r="CE147" s="26"/>
      <c r="CH147" s="26"/>
      <c r="CK147" s="26"/>
      <c r="CN147" s="26"/>
      <c r="CO147" s="26"/>
      <c r="CX147"/>
    </row>
    <row r="148" spans="2:102" x14ac:dyDescent="0.2">
      <c r="B148" s="26"/>
      <c r="C148" s="26"/>
      <c r="F148" s="74"/>
      <c r="G148" s="74"/>
      <c r="J148" s="74"/>
      <c r="K148" s="74"/>
      <c r="N148" s="74"/>
      <c r="O148" s="74"/>
      <c r="R148" s="74"/>
      <c r="S148" s="74"/>
      <c r="V148" s="74"/>
      <c r="W148" s="74"/>
      <c r="Z148" s="74"/>
      <c r="AC148" s="74"/>
      <c r="AD148" s="74"/>
      <c r="AG148" s="74"/>
      <c r="AH148" s="74"/>
      <c r="AK148" s="74"/>
      <c r="AL148" s="74"/>
      <c r="AO148" s="74"/>
      <c r="AP148" s="74"/>
      <c r="AS148" s="74"/>
      <c r="AT148" s="74"/>
      <c r="AW148" s="74"/>
      <c r="AX148" s="74"/>
      <c r="BA148" s="74"/>
      <c r="BB148" s="74"/>
      <c r="BE148" s="74"/>
      <c r="BF148" s="74"/>
      <c r="BI148" s="74"/>
      <c r="BJ148" s="74"/>
      <c r="BM148" s="26"/>
      <c r="BN148" s="26"/>
      <c r="BQ148" s="26"/>
      <c r="BR148" s="26"/>
      <c r="BU148" s="26"/>
      <c r="BV148" s="26"/>
      <c r="BY148" s="26"/>
      <c r="CB148" s="26"/>
      <c r="CE148" s="26"/>
      <c r="CH148" s="26"/>
      <c r="CK148" s="26"/>
      <c r="CN148" s="26"/>
      <c r="CO148" s="26"/>
      <c r="CX148"/>
    </row>
    <row r="149" spans="2:102" x14ac:dyDescent="0.2">
      <c r="B149" s="26"/>
      <c r="C149" s="26"/>
      <c r="F149" s="74"/>
      <c r="G149" s="74"/>
      <c r="J149" s="74"/>
      <c r="K149" s="74"/>
      <c r="N149" s="74"/>
      <c r="O149" s="74"/>
      <c r="R149" s="74"/>
      <c r="S149" s="74"/>
      <c r="V149" s="74"/>
      <c r="W149" s="74"/>
      <c r="Z149" s="74"/>
      <c r="AC149" s="74"/>
      <c r="AD149" s="74"/>
      <c r="AG149" s="74"/>
      <c r="AH149" s="74"/>
      <c r="AK149" s="74"/>
      <c r="AL149" s="74"/>
      <c r="AO149" s="74"/>
      <c r="AP149" s="74"/>
      <c r="AS149" s="74"/>
      <c r="AT149" s="74"/>
      <c r="AW149" s="74"/>
      <c r="AX149" s="74"/>
      <c r="BA149" s="74"/>
      <c r="BB149" s="74"/>
      <c r="BE149" s="74"/>
      <c r="BF149" s="74"/>
      <c r="BI149" s="74"/>
      <c r="BJ149" s="74"/>
      <c r="BM149" s="26"/>
      <c r="BN149" s="26"/>
      <c r="BQ149" s="26"/>
      <c r="BR149" s="26"/>
      <c r="BU149" s="26"/>
      <c r="BV149" s="26"/>
      <c r="BY149" s="26"/>
      <c r="CB149" s="26"/>
      <c r="CE149" s="26"/>
      <c r="CH149" s="26"/>
      <c r="CK149" s="26"/>
      <c r="CN149" s="26"/>
      <c r="CO149" s="26"/>
      <c r="CX149"/>
    </row>
    <row r="150" spans="2:102" x14ac:dyDescent="0.2">
      <c r="B150" s="26"/>
      <c r="C150" s="26"/>
      <c r="F150" s="74"/>
      <c r="G150" s="74"/>
      <c r="J150" s="74"/>
      <c r="K150" s="74"/>
      <c r="N150" s="74"/>
      <c r="O150" s="74"/>
      <c r="R150" s="74"/>
      <c r="S150" s="74"/>
      <c r="V150" s="74"/>
      <c r="W150" s="74"/>
      <c r="Z150" s="74"/>
      <c r="AC150" s="74"/>
      <c r="AD150" s="74"/>
      <c r="AG150" s="74"/>
      <c r="AH150" s="74"/>
      <c r="AK150" s="74"/>
      <c r="AL150" s="74"/>
      <c r="AO150" s="74"/>
      <c r="AP150" s="74"/>
      <c r="AS150" s="74"/>
      <c r="AT150" s="74"/>
      <c r="AW150" s="74"/>
      <c r="AX150" s="74"/>
      <c r="BA150" s="74"/>
      <c r="BB150" s="74"/>
      <c r="BE150" s="74"/>
      <c r="BF150" s="74"/>
      <c r="BI150" s="74"/>
      <c r="BJ150" s="74"/>
      <c r="BM150" s="26"/>
      <c r="BN150" s="26"/>
      <c r="BQ150" s="26"/>
      <c r="BR150" s="26"/>
      <c r="BU150" s="26"/>
      <c r="BV150" s="26"/>
      <c r="BY150" s="26"/>
      <c r="CB150" s="26"/>
      <c r="CE150" s="26"/>
      <c r="CH150" s="26"/>
      <c r="CK150" s="26"/>
      <c r="CN150" s="26"/>
      <c r="CO150" s="26"/>
      <c r="CX150"/>
    </row>
    <row r="151" spans="2:102" x14ac:dyDescent="0.2">
      <c r="B151" s="26"/>
      <c r="C151" s="26"/>
      <c r="F151" s="74"/>
      <c r="G151" s="74"/>
      <c r="J151" s="74"/>
      <c r="K151" s="74"/>
      <c r="N151" s="74"/>
      <c r="O151" s="74"/>
      <c r="R151" s="74"/>
      <c r="S151" s="74"/>
      <c r="V151" s="74"/>
      <c r="W151" s="74"/>
      <c r="Z151" s="74"/>
      <c r="AC151" s="74"/>
      <c r="AD151" s="74"/>
      <c r="AG151" s="74"/>
      <c r="AH151" s="74"/>
      <c r="AK151" s="74"/>
      <c r="AL151" s="74"/>
      <c r="AO151" s="74"/>
      <c r="AP151" s="74"/>
      <c r="AS151" s="74"/>
      <c r="AT151" s="74"/>
      <c r="AW151" s="74"/>
      <c r="AX151" s="74"/>
      <c r="BA151" s="74"/>
      <c r="BB151" s="74"/>
      <c r="BE151" s="74"/>
      <c r="BF151" s="74"/>
      <c r="BI151" s="74"/>
      <c r="BJ151" s="74"/>
      <c r="BM151" s="26"/>
      <c r="BN151" s="26"/>
      <c r="BQ151" s="26"/>
      <c r="BR151" s="26"/>
      <c r="BU151" s="26"/>
      <c r="BV151" s="26"/>
      <c r="BY151" s="26"/>
      <c r="CB151" s="26"/>
      <c r="CE151" s="26"/>
      <c r="CH151" s="26"/>
      <c r="CK151" s="26"/>
      <c r="CN151" s="26"/>
      <c r="CO151" s="26"/>
      <c r="CX151"/>
    </row>
    <row r="152" spans="2:102" x14ac:dyDescent="0.2">
      <c r="B152" s="26"/>
      <c r="C152" s="26"/>
      <c r="F152" s="74"/>
      <c r="G152" s="74"/>
      <c r="J152" s="74"/>
      <c r="K152" s="74"/>
      <c r="N152" s="74"/>
      <c r="O152" s="74"/>
      <c r="R152" s="74"/>
      <c r="S152" s="74"/>
      <c r="V152" s="74"/>
      <c r="W152" s="74"/>
      <c r="Z152" s="74"/>
      <c r="AC152" s="74"/>
      <c r="AD152" s="74"/>
      <c r="AG152" s="74"/>
      <c r="AH152" s="74"/>
      <c r="AK152" s="74"/>
      <c r="AL152" s="74"/>
      <c r="AO152" s="74"/>
      <c r="AP152" s="74"/>
      <c r="AS152" s="74"/>
      <c r="AT152" s="74"/>
      <c r="AW152" s="74"/>
      <c r="AX152" s="74"/>
      <c r="BA152" s="74"/>
      <c r="BB152" s="74"/>
      <c r="BE152" s="74"/>
      <c r="BF152" s="74"/>
      <c r="BI152" s="74"/>
      <c r="BJ152" s="74"/>
      <c r="BM152" s="26"/>
      <c r="BN152" s="26"/>
      <c r="BQ152" s="26"/>
      <c r="BR152" s="26"/>
      <c r="BU152" s="26"/>
      <c r="BV152" s="26"/>
      <c r="BY152" s="26"/>
      <c r="CB152" s="26"/>
      <c r="CE152" s="26"/>
      <c r="CH152" s="26"/>
      <c r="CK152" s="26"/>
      <c r="CN152" s="26"/>
      <c r="CO152" s="26"/>
      <c r="CX152"/>
    </row>
    <row r="153" spans="2:102" x14ac:dyDescent="0.2">
      <c r="B153" s="26"/>
      <c r="C153" s="26"/>
      <c r="F153" s="74"/>
      <c r="G153" s="74"/>
      <c r="J153" s="74"/>
      <c r="K153" s="74"/>
      <c r="N153" s="74"/>
      <c r="O153" s="74"/>
      <c r="R153" s="74"/>
      <c r="S153" s="74"/>
      <c r="V153" s="74"/>
      <c r="W153" s="74"/>
      <c r="Z153" s="74"/>
      <c r="AC153" s="74"/>
      <c r="AD153" s="74"/>
      <c r="AG153" s="74"/>
      <c r="AH153" s="74"/>
      <c r="AK153" s="74"/>
      <c r="AL153" s="74"/>
      <c r="AO153" s="74"/>
      <c r="AP153" s="74"/>
      <c r="AS153" s="74"/>
      <c r="AT153" s="74"/>
      <c r="AW153" s="74"/>
      <c r="AX153" s="74"/>
      <c r="BA153" s="74"/>
      <c r="BB153" s="74"/>
      <c r="BE153" s="74"/>
      <c r="BF153" s="74"/>
      <c r="BI153" s="74"/>
      <c r="BJ153" s="74"/>
      <c r="BM153" s="26"/>
      <c r="BN153" s="26"/>
      <c r="BQ153" s="26"/>
      <c r="BR153" s="26"/>
      <c r="BU153" s="26"/>
      <c r="BV153" s="26"/>
      <c r="BY153" s="26"/>
      <c r="CB153" s="26"/>
      <c r="CE153" s="26"/>
      <c r="CH153" s="26"/>
      <c r="CK153" s="26"/>
      <c r="CN153" s="26"/>
      <c r="CO153" s="26"/>
      <c r="CX153"/>
    </row>
    <row r="154" spans="2:102" x14ac:dyDescent="0.2">
      <c r="B154" s="26"/>
      <c r="C154" s="26"/>
      <c r="F154" s="74"/>
      <c r="G154" s="74"/>
      <c r="J154" s="74"/>
      <c r="K154" s="74"/>
      <c r="N154" s="74"/>
      <c r="O154" s="74"/>
      <c r="R154" s="74"/>
      <c r="S154" s="74"/>
      <c r="V154" s="74"/>
      <c r="W154" s="74"/>
      <c r="Z154" s="74"/>
      <c r="AC154" s="74"/>
      <c r="AD154" s="74"/>
      <c r="AG154" s="74"/>
      <c r="AH154" s="74"/>
      <c r="AK154" s="74"/>
      <c r="AL154" s="74"/>
      <c r="AO154" s="74"/>
      <c r="AP154" s="74"/>
      <c r="AS154" s="74"/>
      <c r="AT154" s="74"/>
      <c r="AW154" s="74"/>
      <c r="AX154" s="74"/>
      <c r="BA154" s="74"/>
      <c r="BB154" s="74"/>
      <c r="BE154" s="74"/>
      <c r="BF154" s="74"/>
      <c r="BI154" s="74"/>
      <c r="BJ154" s="74"/>
      <c r="BM154" s="26"/>
      <c r="BN154" s="26"/>
      <c r="BQ154" s="26"/>
      <c r="BR154" s="26"/>
      <c r="BU154" s="26"/>
      <c r="BV154" s="26"/>
      <c r="BY154" s="26"/>
      <c r="CB154" s="26"/>
      <c r="CE154" s="26"/>
      <c r="CH154" s="26"/>
      <c r="CK154" s="26"/>
      <c r="CN154" s="26"/>
      <c r="CO154" s="26"/>
      <c r="CX154"/>
    </row>
    <row r="155" spans="2:102" x14ac:dyDescent="0.2">
      <c r="B155" s="26"/>
      <c r="C155" s="26"/>
      <c r="F155" s="74"/>
      <c r="G155" s="74"/>
      <c r="J155" s="74"/>
      <c r="K155" s="74"/>
      <c r="N155" s="74"/>
      <c r="O155" s="74"/>
      <c r="R155" s="74"/>
      <c r="S155" s="74"/>
      <c r="V155" s="74"/>
      <c r="W155" s="74"/>
      <c r="Z155" s="74"/>
      <c r="AC155" s="74"/>
      <c r="AD155" s="74"/>
      <c r="AG155" s="74"/>
      <c r="AH155" s="74"/>
      <c r="AK155" s="74"/>
      <c r="AL155" s="74"/>
      <c r="AO155" s="74"/>
      <c r="AP155" s="74"/>
      <c r="AS155" s="74"/>
      <c r="AT155" s="74"/>
      <c r="AW155" s="74"/>
      <c r="AX155" s="74"/>
      <c r="BA155" s="74"/>
      <c r="BB155" s="74"/>
      <c r="BE155" s="74"/>
      <c r="BF155" s="74"/>
      <c r="BI155" s="74"/>
      <c r="BJ155" s="74"/>
      <c r="BM155" s="26"/>
      <c r="BN155" s="26"/>
      <c r="BQ155" s="26"/>
      <c r="BR155" s="26"/>
      <c r="BU155" s="26"/>
      <c r="BV155" s="26"/>
      <c r="BY155" s="26"/>
      <c r="CB155" s="26"/>
      <c r="CE155" s="26"/>
      <c r="CH155" s="26"/>
      <c r="CK155" s="26"/>
      <c r="CN155" s="26"/>
      <c r="CO155" s="26"/>
      <c r="CX155"/>
    </row>
    <row r="156" spans="2:102" x14ac:dyDescent="0.2">
      <c r="B156" s="26"/>
      <c r="C156" s="26"/>
      <c r="F156" s="74"/>
      <c r="G156" s="74"/>
      <c r="J156" s="74"/>
      <c r="K156" s="74"/>
      <c r="N156" s="74"/>
      <c r="O156" s="74"/>
      <c r="R156" s="74"/>
      <c r="S156" s="74"/>
      <c r="V156" s="74"/>
      <c r="W156" s="74"/>
      <c r="Z156" s="74"/>
      <c r="AC156" s="74"/>
      <c r="AD156" s="74"/>
      <c r="AG156" s="74"/>
      <c r="AH156" s="74"/>
      <c r="AK156" s="74"/>
      <c r="AL156" s="74"/>
      <c r="AO156" s="74"/>
      <c r="AP156" s="74"/>
      <c r="AS156" s="74"/>
      <c r="AT156" s="74"/>
      <c r="AW156" s="74"/>
      <c r="AX156" s="74"/>
      <c r="BA156" s="74"/>
      <c r="BB156" s="74"/>
      <c r="BE156" s="74"/>
      <c r="BF156" s="74"/>
      <c r="BI156" s="74"/>
      <c r="BJ156" s="74"/>
      <c r="BM156" s="26"/>
      <c r="BN156" s="26"/>
      <c r="BQ156" s="26"/>
      <c r="BR156" s="26"/>
      <c r="BU156" s="26"/>
      <c r="BV156" s="26"/>
      <c r="BY156" s="26"/>
      <c r="CB156" s="26"/>
      <c r="CE156" s="26"/>
      <c r="CH156" s="26"/>
      <c r="CK156" s="26"/>
      <c r="CN156" s="26"/>
      <c r="CO156" s="26"/>
      <c r="CX156"/>
    </row>
    <row r="157" spans="2:102" x14ac:dyDescent="0.2">
      <c r="B157" s="26"/>
      <c r="C157" s="26"/>
      <c r="F157" s="74"/>
      <c r="G157" s="74"/>
      <c r="J157" s="74"/>
      <c r="K157" s="74"/>
      <c r="N157" s="74"/>
      <c r="O157" s="74"/>
      <c r="R157" s="74"/>
      <c r="S157" s="74"/>
      <c r="V157" s="74"/>
      <c r="W157" s="74"/>
      <c r="Z157" s="74"/>
      <c r="AC157" s="74"/>
      <c r="AD157" s="74"/>
      <c r="AG157" s="74"/>
      <c r="AH157" s="74"/>
      <c r="AK157" s="74"/>
      <c r="AL157" s="74"/>
      <c r="AO157" s="74"/>
      <c r="AP157" s="74"/>
      <c r="AS157" s="74"/>
      <c r="AT157" s="74"/>
      <c r="AW157" s="74"/>
      <c r="AX157" s="74"/>
      <c r="BA157" s="74"/>
      <c r="BB157" s="74"/>
      <c r="BE157" s="74"/>
      <c r="BF157" s="74"/>
      <c r="BI157" s="74"/>
      <c r="BJ157" s="74"/>
      <c r="BM157" s="26"/>
      <c r="BN157" s="26"/>
      <c r="BQ157" s="26"/>
      <c r="BR157" s="26"/>
      <c r="BU157" s="26"/>
      <c r="BV157" s="26"/>
      <c r="BY157" s="26"/>
      <c r="CB157" s="26"/>
      <c r="CE157" s="26"/>
      <c r="CH157" s="26"/>
      <c r="CK157" s="26"/>
      <c r="CN157" s="26"/>
      <c r="CO157" s="26"/>
      <c r="CX157"/>
    </row>
    <row r="158" spans="2:102" x14ac:dyDescent="0.2">
      <c r="B158" s="26"/>
      <c r="C158" s="26"/>
      <c r="F158" s="74"/>
      <c r="G158" s="74"/>
      <c r="J158" s="74"/>
      <c r="K158" s="74"/>
      <c r="N158" s="74"/>
      <c r="O158" s="74"/>
      <c r="R158" s="74"/>
      <c r="S158" s="74"/>
      <c r="V158" s="74"/>
      <c r="W158" s="74"/>
      <c r="Z158" s="74"/>
      <c r="AC158" s="74"/>
      <c r="AD158" s="74"/>
      <c r="AG158" s="74"/>
      <c r="AH158" s="74"/>
      <c r="AK158" s="74"/>
      <c r="AL158" s="74"/>
      <c r="AO158" s="74"/>
      <c r="AP158" s="74"/>
      <c r="AS158" s="74"/>
      <c r="AT158" s="74"/>
      <c r="AW158" s="74"/>
      <c r="AX158" s="74"/>
      <c r="BA158" s="74"/>
      <c r="BB158" s="74"/>
      <c r="BE158" s="74"/>
      <c r="BF158" s="74"/>
      <c r="BI158" s="74"/>
      <c r="BJ158" s="74"/>
      <c r="BM158" s="26"/>
      <c r="BN158" s="26"/>
      <c r="BQ158" s="26"/>
      <c r="BR158" s="26"/>
      <c r="BU158" s="26"/>
      <c r="BV158" s="26"/>
      <c r="BY158" s="26"/>
      <c r="CB158" s="26"/>
      <c r="CE158" s="26"/>
      <c r="CH158" s="26"/>
      <c r="CK158" s="26"/>
      <c r="CN158" s="26"/>
      <c r="CO158" s="26"/>
      <c r="CX158"/>
    </row>
    <row r="159" spans="2:102" x14ac:dyDescent="0.2">
      <c r="B159" s="26"/>
      <c r="C159" s="26"/>
      <c r="F159" s="74"/>
      <c r="G159" s="74"/>
      <c r="J159" s="74"/>
      <c r="K159" s="74"/>
      <c r="N159" s="74"/>
      <c r="O159" s="74"/>
      <c r="R159" s="74"/>
      <c r="S159" s="74"/>
      <c r="V159" s="74"/>
      <c r="W159" s="74"/>
      <c r="Z159" s="74"/>
      <c r="AC159" s="74"/>
      <c r="AD159" s="74"/>
      <c r="AG159" s="74"/>
      <c r="AH159" s="74"/>
      <c r="AK159" s="74"/>
      <c r="AL159" s="74"/>
      <c r="AO159" s="74"/>
      <c r="AP159" s="74"/>
      <c r="AS159" s="74"/>
      <c r="AT159" s="74"/>
      <c r="AW159" s="74"/>
      <c r="AX159" s="74"/>
      <c r="BA159" s="74"/>
      <c r="BB159" s="74"/>
      <c r="BE159" s="74"/>
      <c r="BF159" s="74"/>
      <c r="BI159" s="74"/>
      <c r="BJ159" s="74"/>
      <c r="BM159" s="26"/>
      <c r="BN159" s="26"/>
      <c r="BQ159" s="26"/>
      <c r="BR159" s="26"/>
      <c r="BU159" s="26"/>
      <c r="BV159" s="26"/>
      <c r="BY159" s="26"/>
      <c r="CB159" s="26"/>
      <c r="CE159" s="26"/>
      <c r="CH159" s="26"/>
      <c r="CK159" s="26"/>
      <c r="CN159" s="26"/>
      <c r="CO159" s="26"/>
      <c r="CX159"/>
    </row>
    <row r="160" spans="2:102" x14ac:dyDescent="0.2">
      <c r="B160" s="26"/>
      <c r="C160" s="26"/>
      <c r="F160" s="74"/>
      <c r="G160" s="74"/>
      <c r="J160" s="74"/>
      <c r="K160" s="74"/>
      <c r="N160" s="74"/>
      <c r="O160" s="74"/>
      <c r="R160" s="74"/>
      <c r="S160" s="74"/>
      <c r="V160" s="74"/>
      <c r="W160" s="74"/>
      <c r="Z160" s="74"/>
      <c r="AC160" s="74"/>
      <c r="AD160" s="74"/>
      <c r="AG160" s="74"/>
      <c r="AH160" s="74"/>
      <c r="AK160" s="74"/>
      <c r="AL160" s="74"/>
      <c r="AO160" s="74"/>
      <c r="AP160" s="74"/>
      <c r="AS160" s="74"/>
      <c r="AT160" s="74"/>
      <c r="AW160" s="74"/>
      <c r="AX160" s="74"/>
      <c r="BA160" s="74"/>
      <c r="BB160" s="74"/>
      <c r="BE160" s="74"/>
      <c r="BF160" s="74"/>
      <c r="BI160" s="74"/>
      <c r="BJ160" s="74"/>
      <c r="BM160" s="26"/>
      <c r="BN160" s="26"/>
      <c r="BQ160" s="26"/>
      <c r="BR160" s="26"/>
      <c r="BU160" s="26"/>
      <c r="BV160" s="26"/>
      <c r="BY160" s="26"/>
      <c r="CB160" s="26"/>
      <c r="CE160" s="26"/>
      <c r="CH160" s="26"/>
      <c r="CK160" s="26"/>
      <c r="CN160" s="26"/>
      <c r="CO160" s="26"/>
      <c r="CX160"/>
    </row>
    <row r="161" spans="2:102" x14ac:dyDescent="0.2">
      <c r="B161" s="26"/>
      <c r="C161" s="26"/>
      <c r="F161" s="74"/>
      <c r="G161" s="74"/>
      <c r="J161" s="74"/>
      <c r="K161" s="74"/>
      <c r="N161" s="74"/>
      <c r="O161" s="74"/>
      <c r="R161" s="74"/>
      <c r="S161" s="74"/>
      <c r="V161" s="74"/>
      <c r="W161" s="74"/>
      <c r="Z161" s="74"/>
      <c r="AC161" s="74"/>
      <c r="AD161" s="74"/>
      <c r="AG161" s="74"/>
      <c r="AH161" s="74"/>
      <c r="AK161" s="74"/>
      <c r="AL161" s="74"/>
      <c r="AO161" s="74"/>
      <c r="AP161" s="74"/>
      <c r="AS161" s="74"/>
      <c r="AT161" s="74"/>
      <c r="AW161" s="74"/>
      <c r="AX161" s="74"/>
      <c r="BA161" s="74"/>
      <c r="BB161" s="74"/>
      <c r="BE161" s="74"/>
      <c r="BF161" s="74"/>
      <c r="BI161" s="74"/>
      <c r="BJ161" s="74"/>
      <c r="BM161" s="26"/>
      <c r="BN161" s="26"/>
      <c r="BQ161" s="26"/>
      <c r="BR161" s="26"/>
      <c r="BU161" s="26"/>
      <c r="BV161" s="26"/>
      <c r="BY161" s="26"/>
      <c r="CB161" s="26"/>
      <c r="CE161" s="26"/>
      <c r="CH161" s="26"/>
      <c r="CK161" s="26"/>
      <c r="CN161" s="26"/>
      <c r="CO161" s="26"/>
      <c r="CX161"/>
    </row>
    <row r="162" spans="2:102" x14ac:dyDescent="0.2">
      <c r="B162" s="26"/>
      <c r="C162" s="26"/>
      <c r="F162" s="74"/>
      <c r="G162" s="74"/>
      <c r="J162" s="74"/>
      <c r="K162" s="74"/>
      <c r="N162" s="74"/>
      <c r="O162" s="74"/>
      <c r="R162" s="74"/>
      <c r="S162" s="74"/>
      <c r="V162" s="74"/>
      <c r="W162" s="74"/>
      <c r="Z162" s="74"/>
      <c r="AC162" s="74"/>
      <c r="AD162" s="74"/>
      <c r="AG162" s="74"/>
      <c r="AH162" s="74"/>
      <c r="AK162" s="74"/>
      <c r="AL162" s="74"/>
      <c r="AO162" s="74"/>
      <c r="AP162" s="74"/>
      <c r="AS162" s="74"/>
      <c r="AT162" s="74"/>
      <c r="AW162" s="74"/>
      <c r="AX162" s="74"/>
      <c r="BA162" s="74"/>
      <c r="BB162" s="74"/>
      <c r="BE162" s="74"/>
      <c r="BF162" s="74"/>
      <c r="BI162" s="74"/>
      <c r="BJ162" s="74"/>
      <c r="BM162" s="26"/>
      <c r="BN162" s="26"/>
      <c r="BQ162" s="26"/>
      <c r="BR162" s="26"/>
      <c r="BU162" s="26"/>
      <c r="BV162" s="26"/>
      <c r="BY162" s="26"/>
      <c r="CB162" s="26"/>
      <c r="CE162" s="26"/>
      <c r="CH162" s="26"/>
      <c r="CK162" s="26"/>
      <c r="CN162" s="26"/>
      <c r="CO162" s="26"/>
      <c r="CX162"/>
    </row>
    <row r="163" spans="2:102" x14ac:dyDescent="0.2">
      <c r="B163" s="26"/>
      <c r="C163" s="26"/>
      <c r="F163" s="74"/>
      <c r="G163" s="74"/>
      <c r="J163" s="74"/>
      <c r="K163" s="74"/>
      <c r="N163" s="74"/>
      <c r="O163" s="74"/>
      <c r="R163" s="74"/>
      <c r="S163" s="74"/>
      <c r="V163" s="74"/>
      <c r="W163" s="74"/>
      <c r="Z163" s="74"/>
      <c r="AC163" s="74"/>
      <c r="AD163" s="74"/>
      <c r="AG163" s="74"/>
      <c r="AH163" s="74"/>
      <c r="AK163" s="74"/>
      <c r="AL163" s="74"/>
      <c r="AO163" s="74"/>
      <c r="AP163" s="74"/>
      <c r="AS163" s="74"/>
      <c r="AT163" s="74"/>
      <c r="AW163" s="74"/>
      <c r="AX163" s="74"/>
      <c r="BA163" s="74"/>
      <c r="BB163" s="74"/>
      <c r="BE163" s="74"/>
      <c r="BF163" s="74"/>
      <c r="BI163" s="74"/>
      <c r="BJ163" s="74"/>
      <c r="BM163" s="26"/>
      <c r="BN163" s="26"/>
      <c r="BQ163" s="26"/>
      <c r="BR163" s="26"/>
      <c r="BU163" s="26"/>
      <c r="BV163" s="26"/>
      <c r="BY163" s="26"/>
      <c r="CB163" s="26"/>
      <c r="CE163" s="26"/>
      <c r="CH163" s="26"/>
      <c r="CK163" s="26"/>
      <c r="CN163" s="26"/>
      <c r="CO163" s="26"/>
      <c r="CX163"/>
    </row>
    <row r="164" spans="2:102" x14ac:dyDescent="0.2">
      <c r="B164" s="26"/>
      <c r="C164" s="26"/>
      <c r="F164" s="74"/>
      <c r="G164" s="74"/>
      <c r="J164" s="74"/>
      <c r="K164" s="74"/>
      <c r="N164" s="74"/>
      <c r="O164" s="74"/>
      <c r="R164" s="74"/>
      <c r="S164" s="74"/>
      <c r="V164" s="74"/>
      <c r="W164" s="74"/>
      <c r="Z164" s="74"/>
      <c r="AC164" s="74"/>
      <c r="AD164" s="74"/>
      <c r="AG164" s="74"/>
      <c r="AH164" s="74"/>
      <c r="AK164" s="74"/>
      <c r="AL164" s="74"/>
      <c r="AO164" s="74"/>
      <c r="AP164" s="74"/>
      <c r="AS164" s="74"/>
      <c r="AT164" s="74"/>
      <c r="AW164" s="74"/>
      <c r="AX164" s="74"/>
      <c r="BA164" s="74"/>
      <c r="BB164" s="74"/>
      <c r="BE164" s="74"/>
      <c r="BF164" s="74"/>
      <c r="BI164" s="74"/>
      <c r="BJ164" s="74"/>
      <c r="BM164" s="26"/>
      <c r="BN164" s="26"/>
      <c r="BQ164" s="26"/>
      <c r="BR164" s="26"/>
      <c r="BU164" s="26"/>
      <c r="BV164" s="26"/>
      <c r="BY164" s="26"/>
      <c r="CB164" s="26"/>
      <c r="CE164" s="26"/>
      <c r="CH164" s="26"/>
      <c r="CK164" s="26"/>
      <c r="CN164" s="26"/>
      <c r="CO164" s="26"/>
      <c r="CX164"/>
    </row>
    <row r="165" spans="2:102" x14ac:dyDescent="0.2">
      <c r="B165" s="26"/>
      <c r="C165" s="26"/>
      <c r="F165" s="74"/>
      <c r="G165" s="74"/>
      <c r="J165" s="74"/>
      <c r="K165" s="74"/>
      <c r="N165" s="74"/>
      <c r="O165" s="74"/>
      <c r="R165" s="74"/>
      <c r="S165" s="74"/>
      <c r="V165" s="74"/>
      <c r="W165" s="74"/>
      <c r="Z165" s="74"/>
      <c r="AC165" s="74"/>
      <c r="AD165" s="74"/>
      <c r="AG165" s="74"/>
      <c r="AH165" s="74"/>
      <c r="AK165" s="74"/>
      <c r="AL165" s="74"/>
      <c r="AO165" s="74"/>
      <c r="AP165" s="74"/>
      <c r="AS165" s="74"/>
      <c r="AT165" s="74"/>
      <c r="AW165" s="74"/>
      <c r="AX165" s="74"/>
      <c r="BA165" s="74"/>
      <c r="BB165" s="74"/>
      <c r="BE165" s="74"/>
      <c r="BF165" s="74"/>
      <c r="BI165" s="74"/>
      <c r="BJ165" s="74"/>
      <c r="BM165" s="26"/>
      <c r="BN165" s="26"/>
      <c r="BQ165" s="26"/>
      <c r="BR165" s="26"/>
      <c r="BU165" s="26"/>
      <c r="BV165" s="26"/>
      <c r="BY165" s="26"/>
      <c r="CB165" s="26"/>
      <c r="CE165" s="26"/>
      <c r="CH165" s="26"/>
      <c r="CK165" s="26"/>
      <c r="CN165" s="26"/>
      <c r="CO165" s="26"/>
      <c r="CX165"/>
    </row>
    <row r="166" spans="2:102" x14ac:dyDescent="0.2">
      <c r="B166" s="26"/>
      <c r="C166" s="26"/>
      <c r="F166" s="74"/>
      <c r="G166" s="74"/>
      <c r="J166" s="74"/>
      <c r="K166" s="74"/>
      <c r="N166" s="74"/>
      <c r="O166" s="74"/>
      <c r="R166" s="74"/>
      <c r="S166" s="74"/>
      <c r="V166" s="74"/>
      <c r="W166" s="74"/>
      <c r="Z166" s="74"/>
      <c r="AC166" s="74"/>
      <c r="AD166" s="74"/>
      <c r="AG166" s="74"/>
      <c r="AH166" s="74"/>
      <c r="AK166" s="74"/>
      <c r="AL166" s="74"/>
      <c r="AO166" s="74"/>
      <c r="AP166" s="74"/>
      <c r="AS166" s="74"/>
      <c r="AT166" s="74"/>
      <c r="AW166" s="74"/>
      <c r="AX166" s="74"/>
      <c r="BA166" s="74"/>
      <c r="BB166" s="74"/>
      <c r="BE166" s="74"/>
      <c r="BF166" s="74"/>
      <c r="BI166" s="74"/>
      <c r="BJ166" s="74"/>
      <c r="BM166" s="26"/>
      <c r="BN166" s="26"/>
      <c r="BQ166" s="26"/>
      <c r="BR166" s="26"/>
      <c r="BU166" s="26"/>
      <c r="BV166" s="26"/>
      <c r="BY166" s="26"/>
      <c r="CB166" s="26"/>
      <c r="CE166" s="26"/>
      <c r="CH166" s="26"/>
      <c r="CK166" s="26"/>
      <c r="CN166" s="26"/>
      <c r="CO166" s="26"/>
      <c r="CX166"/>
    </row>
    <row r="167" spans="2:102" x14ac:dyDescent="0.2">
      <c r="B167" s="26"/>
      <c r="C167" s="26"/>
      <c r="F167" s="74"/>
      <c r="G167" s="74"/>
      <c r="J167" s="74"/>
      <c r="K167" s="74"/>
      <c r="N167" s="74"/>
      <c r="O167" s="74"/>
      <c r="R167" s="74"/>
      <c r="S167" s="74"/>
      <c r="V167" s="74"/>
      <c r="W167" s="74"/>
      <c r="Z167" s="74"/>
      <c r="AC167" s="74"/>
      <c r="AD167" s="74"/>
      <c r="AG167" s="74"/>
      <c r="AH167" s="74"/>
      <c r="AK167" s="74"/>
      <c r="AL167" s="74"/>
      <c r="AO167" s="74"/>
      <c r="AP167" s="74"/>
      <c r="AS167" s="74"/>
      <c r="AT167" s="74"/>
      <c r="AW167" s="74"/>
      <c r="AX167" s="74"/>
      <c r="BA167" s="74"/>
      <c r="BB167" s="74"/>
      <c r="BE167" s="74"/>
      <c r="BF167" s="74"/>
      <c r="BI167" s="74"/>
      <c r="BJ167" s="74"/>
      <c r="BM167" s="26"/>
      <c r="BN167" s="26"/>
      <c r="BQ167" s="26"/>
      <c r="BR167" s="26"/>
      <c r="BU167" s="26"/>
      <c r="BV167" s="26"/>
      <c r="BY167" s="26"/>
      <c r="CB167" s="26"/>
      <c r="CE167" s="26"/>
      <c r="CH167" s="26"/>
      <c r="CK167" s="26"/>
      <c r="CN167" s="26"/>
      <c r="CO167" s="26"/>
      <c r="CX167"/>
    </row>
    <row r="168" spans="2:102" x14ac:dyDescent="0.2">
      <c r="B168" s="26"/>
      <c r="C168" s="26"/>
      <c r="F168" s="74"/>
      <c r="G168" s="74"/>
      <c r="J168" s="74"/>
      <c r="K168" s="74"/>
      <c r="N168" s="74"/>
      <c r="O168" s="74"/>
      <c r="R168" s="74"/>
      <c r="S168" s="74"/>
      <c r="V168" s="74"/>
      <c r="W168" s="74"/>
      <c r="Z168" s="74"/>
      <c r="AC168" s="74"/>
      <c r="AD168" s="74"/>
      <c r="AG168" s="74"/>
      <c r="AH168" s="74"/>
      <c r="AK168" s="74"/>
      <c r="AL168" s="74"/>
      <c r="AO168" s="74"/>
      <c r="AP168" s="74"/>
      <c r="AS168" s="74"/>
      <c r="AT168" s="74"/>
      <c r="AW168" s="74"/>
      <c r="AX168" s="74"/>
      <c r="BA168" s="74"/>
      <c r="BB168" s="74"/>
      <c r="BE168" s="74"/>
      <c r="BF168" s="74"/>
      <c r="BI168" s="74"/>
      <c r="BJ168" s="74"/>
      <c r="BM168" s="26"/>
      <c r="BN168" s="26"/>
      <c r="BQ168" s="26"/>
      <c r="BR168" s="26"/>
      <c r="BU168" s="26"/>
      <c r="BV168" s="26"/>
      <c r="BY168" s="26"/>
      <c r="CB168" s="26"/>
      <c r="CE168" s="26"/>
      <c r="CH168" s="26"/>
      <c r="CK168" s="26"/>
      <c r="CN168" s="26"/>
      <c r="CO168" s="26"/>
      <c r="CX168"/>
    </row>
    <row r="169" spans="2:102" x14ac:dyDescent="0.2">
      <c r="B169" s="26"/>
      <c r="C169" s="26"/>
      <c r="F169" s="74"/>
      <c r="G169" s="74"/>
      <c r="J169" s="74"/>
      <c r="K169" s="74"/>
      <c r="N169" s="74"/>
      <c r="O169" s="74"/>
      <c r="R169" s="74"/>
      <c r="S169" s="74"/>
      <c r="V169" s="74"/>
      <c r="W169" s="74"/>
      <c r="Z169" s="74"/>
      <c r="AC169" s="74"/>
      <c r="AD169" s="74"/>
      <c r="AG169" s="74"/>
      <c r="AH169" s="74"/>
      <c r="AK169" s="74"/>
      <c r="AL169" s="74"/>
      <c r="AO169" s="74"/>
      <c r="AP169" s="74"/>
      <c r="AS169" s="74"/>
      <c r="AT169" s="74"/>
      <c r="AW169" s="74"/>
      <c r="AX169" s="74"/>
      <c r="BA169" s="74"/>
      <c r="BB169" s="74"/>
      <c r="BE169" s="74"/>
      <c r="BF169" s="74"/>
      <c r="BI169" s="74"/>
      <c r="BJ169" s="74"/>
      <c r="BM169" s="26"/>
      <c r="BN169" s="26"/>
      <c r="BQ169" s="26"/>
      <c r="BR169" s="26"/>
      <c r="BU169" s="26"/>
      <c r="BV169" s="26"/>
      <c r="BY169" s="26"/>
      <c r="CB169" s="26"/>
      <c r="CE169" s="26"/>
      <c r="CH169" s="26"/>
      <c r="CK169" s="26"/>
      <c r="CN169" s="26"/>
      <c r="CO169" s="26"/>
      <c r="CX169"/>
    </row>
    <row r="170" spans="2:102" x14ac:dyDescent="0.2">
      <c r="B170" s="26"/>
      <c r="C170" s="26"/>
      <c r="F170" s="74"/>
      <c r="G170" s="74"/>
      <c r="J170" s="74"/>
      <c r="K170" s="74"/>
      <c r="N170" s="74"/>
      <c r="O170" s="74"/>
      <c r="R170" s="74"/>
      <c r="S170" s="74"/>
      <c r="V170" s="74"/>
      <c r="W170" s="74"/>
      <c r="Z170" s="74"/>
      <c r="AC170" s="74"/>
      <c r="AD170" s="74"/>
      <c r="AG170" s="74"/>
      <c r="AH170" s="74"/>
      <c r="AK170" s="74"/>
      <c r="AL170" s="74"/>
      <c r="AO170" s="74"/>
      <c r="AP170" s="74"/>
      <c r="AS170" s="74"/>
      <c r="AT170" s="74"/>
      <c r="AW170" s="74"/>
      <c r="AX170" s="74"/>
      <c r="BA170" s="74"/>
      <c r="BB170" s="74"/>
      <c r="BE170" s="74"/>
      <c r="BF170" s="74"/>
      <c r="BI170" s="74"/>
      <c r="BJ170" s="74"/>
      <c r="BM170" s="26"/>
      <c r="BN170" s="26"/>
      <c r="BQ170" s="26"/>
      <c r="BR170" s="26"/>
      <c r="BU170" s="26"/>
      <c r="BV170" s="26"/>
      <c r="BY170" s="26"/>
      <c r="CB170" s="26"/>
      <c r="CE170" s="26"/>
      <c r="CH170" s="26"/>
      <c r="CK170" s="26"/>
      <c r="CN170" s="26"/>
      <c r="CO170" s="26"/>
      <c r="CX170"/>
    </row>
    <row r="171" spans="2:102" x14ac:dyDescent="0.2">
      <c r="B171" s="26"/>
      <c r="C171" s="26"/>
      <c r="F171" s="74"/>
      <c r="G171" s="74"/>
      <c r="J171" s="74"/>
      <c r="K171" s="74"/>
      <c r="N171" s="74"/>
      <c r="O171" s="74"/>
      <c r="R171" s="74"/>
      <c r="S171" s="74"/>
      <c r="V171" s="74"/>
      <c r="W171" s="74"/>
      <c r="Z171" s="74"/>
      <c r="AC171" s="74"/>
      <c r="AD171" s="74"/>
      <c r="AG171" s="74"/>
      <c r="AH171" s="74"/>
      <c r="AK171" s="74"/>
      <c r="AL171" s="74"/>
      <c r="AO171" s="74"/>
      <c r="AP171" s="74"/>
      <c r="AS171" s="74"/>
      <c r="AT171" s="74"/>
      <c r="AW171" s="74"/>
      <c r="AX171" s="74"/>
      <c r="BA171" s="74"/>
      <c r="BB171" s="74"/>
      <c r="BE171" s="74"/>
      <c r="BF171" s="74"/>
      <c r="BI171" s="74"/>
      <c r="BJ171" s="74"/>
      <c r="BM171" s="26"/>
      <c r="BN171" s="26"/>
      <c r="BQ171" s="26"/>
      <c r="BR171" s="26"/>
      <c r="BU171" s="26"/>
      <c r="BV171" s="26"/>
      <c r="BY171" s="26"/>
      <c r="CB171" s="26"/>
      <c r="CE171" s="26"/>
      <c r="CH171" s="26"/>
      <c r="CK171" s="26"/>
      <c r="CN171" s="26"/>
      <c r="CO171" s="26"/>
      <c r="CX171"/>
    </row>
    <row r="172" spans="2:102" x14ac:dyDescent="0.2">
      <c r="B172" s="26"/>
      <c r="C172" s="26"/>
      <c r="F172" s="74"/>
      <c r="G172" s="74"/>
      <c r="J172" s="74"/>
      <c r="K172" s="74"/>
      <c r="N172" s="74"/>
      <c r="O172" s="74"/>
      <c r="R172" s="74"/>
      <c r="S172" s="74"/>
      <c r="V172" s="74"/>
      <c r="W172" s="74"/>
      <c r="Z172" s="74"/>
      <c r="AC172" s="74"/>
      <c r="AD172" s="74"/>
      <c r="AG172" s="74"/>
      <c r="AH172" s="74"/>
      <c r="AK172" s="74"/>
      <c r="AL172" s="74"/>
      <c r="AO172" s="74"/>
      <c r="AP172" s="74"/>
      <c r="AS172" s="74"/>
      <c r="AT172" s="74"/>
      <c r="AW172" s="74"/>
      <c r="AX172" s="74"/>
      <c r="BA172" s="74"/>
      <c r="BB172" s="74"/>
      <c r="BE172" s="74"/>
      <c r="BF172" s="74"/>
      <c r="BI172" s="74"/>
      <c r="BJ172" s="74"/>
      <c r="BM172" s="26"/>
      <c r="BN172" s="26"/>
      <c r="BQ172" s="26"/>
      <c r="BR172" s="26"/>
      <c r="BU172" s="26"/>
      <c r="BV172" s="26"/>
      <c r="BY172" s="26"/>
      <c r="CB172" s="26"/>
      <c r="CE172" s="26"/>
      <c r="CH172" s="26"/>
      <c r="CK172" s="26"/>
      <c r="CN172" s="26"/>
      <c r="CO172" s="26"/>
      <c r="CX172"/>
    </row>
    <row r="173" spans="2:102" x14ac:dyDescent="0.2">
      <c r="B173" s="26"/>
      <c r="C173" s="26"/>
      <c r="F173" s="74"/>
      <c r="G173" s="74"/>
      <c r="J173" s="74"/>
      <c r="K173" s="74"/>
      <c r="N173" s="74"/>
      <c r="O173" s="74"/>
      <c r="R173" s="74"/>
      <c r="S173" s="74"/>
      <c r="V173" s="74"/>
      <c r="W173" s="74"/>
      <c r="Z173" s="74"/>
      <c r="AC173" s="74"/>
      <c r="AD173" s="74"/>
      <c r="AG173" s="74"/>
      <c r="AH173" s="74"/>
      <c r="AK173" s="74"/>
      <c r="AL173" s="74"/>
      <c r="AO173" s="74"/>
      <c r="AP173" s="74"/>
      <c r="AS173" s="74"/>
      <c r="AT173" s="74"/>
      <c r="AW173" s="74"/>
      <c r="AX173" s="74"/>
      <c r="BA173" s="74"/>
      <c r="BB173" s="74"/>
      <c r="BE173" s="74"/>
      <c r="BF173" s="74"/>
      <c r="BI173" s="74"/>
      <c r="BJ173" s="74"/>
      <c r="BM173" s="26"/>
      <c r="BN173" s="26"/>
      <c r="BQ173" s="26"/>
      <c r="BR173" s="26"/>
      <c r="BU173" s="26"/>
      <c r="BV173" s="26"/>
      <c r="BY173" s="26"/>
      <c r="CB173" s="26"/>
      <c r="CE173" s="26"/>
      <c r="CH173" s="26"/>
      <c r="CK173" s="26"/>
      <c r="CN173" s="26"/>
      <c r="CO173" s="26"/>
      <c r="CX173"/>
    </row>
    <row r="174" spans="2:102" x14ac:dyDescent="0.2">
      <c r="B174" s="26"/>
      <c r="C174" s="26"/>
      <c r="F174" s="74"/>
      <c r="G174" s="74"/>
      <c r="J174" s="74"/>
      <c r="K174" s="74"/>
      <c r="N174" s="74"/>
      <c r="O174" s="74"/>
      <c r="R174" s="74"/>
      <c r="S174" s="74"/>
      <c r="V174" s="74"/>
      <c r="W174" s="74"/>
      <c r="Z174" s="74"/>
      <c r="AC174" s="74"/>
      <c r="AD174" s="74"/>
      <c r="AG174" s="74"/>
      <c r="AH174" s="74"/>
      <c r="AK174" s="74"/>
      <c r="AL174" s="74"/>
      <c r="AO174" s="74"/>
      <c r="AP174" s="74"/>
      <c r="AS174" s="74"/>
      <c r="AT174" s="74"/>
      <c r="AW174" s="74"/>
      <c r="AX174" s="74"/>
      <c r="BA174" s="74"/>
      <c r="BB174" s="74"/>
      <c r="BE174" s="74"/>
      <c r="BF174" s="74"/>
      <c r="BI174" s="74"/>
      <c r="BJ174" s="74"/>
      <c r="BM174" s="26"/>
      <c r="BN174" s="26"/>
      <c r="BQ174" s="26"/>
      <c r="BR174" s="26"/>
      <c r="BU174" s="26"/>
      <c r="BV174" s="26"/>
      <c r="BY174" s="26"/>
      <c r="CB174" s="26"/>
      <c r="CE174" s="26"/>
      <c r="CH174" s="26"/>
      <c r="CK174" s="26"/>
      <c r="CN174" s="26"/>
      <c r="CO174" s="26"/>
      <c r="CX174"/>
    </row>
    <row r="175" spans="2:102" x14ac:dyDescent="0.2">
      <c r="B175" s="26"/>
      <c r="C175" s="26"/>
      <c r="F175" s="74"/>
      <c r="G175" s="74"/>
      <c r="J175" s="74"/>
      <c r="K175" s="74"/>
      <c r="N175" s="74"/>
      <c r="O175" s="74"/>
      <c r="R175" s="74"/>
      <c r="S175" s="74"/>
      <c r="V175" s="74"/>
      <c r="W175" s="74"/>
      <c r="Z175" s="74"/>
      <c r="AC175" s="74"/>
      <c r="AD175" s="74"/>
      <c r="AG175" s="74"/>
      <c r="AH175" s="74"/>
      <c r="AK175" s="74"/>
      <c r="AL175" s="74"/>
      <c r="AO175" s="74"/>
      <c r="AP175" s="74"/>
      <c r="AS175" s="74"/>
      <c r="AT175" s="74"/>
      <c r="AW175" s="74"/>
      <c r="AX175" s="74"/>
      <c r="BA175" s="74"/>
      <c r="BB175" s="74"/>
      <c r="BE175" s="74"/>
      <c r="BF175" s="74"/>
      <c r="BI175" s="74"/>
      <c r="BJ175" s="74"/>
      <c r="BM175" s="26"/>
      <c r="BN175" s="26"/>
      <c r="BQ175" s="26"/>
      <c r="BR175" s="26"/>
      <c r="BU175" s="26"/>
      <c r="BV175" s="26"/>
      <c r="BY175" s="26"/>
      <c r="CB175" s="26"/>
      <c r="CE175" s="26"/>
      <c r="CH175" s="26"/>
      <c r="CK175" s="26"/>
      <c r="CN175" s="26"/>
      <c r="CO175" s="26"/>
      <c r="CX175"/>
    </row>
    <row r="176" spans="2:102" x14ac:dyDescent="0.2">
      <c r="B176" s="26"/>
      <c r="C176" s="26"/>
      <c r="F176" s="74"/>
      <c r="G176" s="74"/>
      <c r="J176" s="74"/>
      <c r="K176" s="74"/>
      <c r="N176" s="74"/>
      <c r="O176" s="74"/>
      <c r="R176" s="74"/>
      <c r="S176" s="74"/>
      <c r="V176" s="74"/>
      <c r="W176" s="74"/>
      <c r="Z176" s="74"/>
      <c r="AC176" s="74"/>
      <c r="AD176" s="74"/>
      <c r="AG176" s="74"/>
      <c r="AH176" s="74"/>
      <c r="AK176" s="74"/>
      <c r="AL176" s="74"/>
      <c r="AO176" s="74"/>
      <c r="AP176" s="74"/>
      <c r="AS176" s="74"/>
      <c r="AT176" s="74"/>
      <c r="AW176" s="74"/>
      <c r="AX176" s="74"/>
      <c r="BA176" s="74"/>
      <c r="BB176" s="74"/>
      <c r="BE176" s="74"/>
      <c r="BF176" s="74"/>
      <c r="BI176" s="74"/>
      <c r="BJ176" s="74"/>
      <c r="BM176" s="26"/>
      <c r="BN176" s="26"/>
      <c r="BQ176" s="26"/>
      <c r="BR176" s="26"/>
      <c r="BU176" s="26"/>
      <c r="BV176" s="26"/>
      <c r="BY176" s="26"/>
      <c r="CB176" s="26"/>
      <c r="CE176" s="26"/>
      <c r="CH176" s="26"/>
      <c r="CK176" s="26"/>
      <c r="CN176" s="26"/>
      <c r="CO176" s="26"/>
      <c r="CX176"/>
    </row>
    <row r="177" spans="2:102" x14ac:dyDescent="0.2">
      <c r="B177" s="26"/>
      <c r="C177" s="26"/>
      <c r="F177" s="74"/>
      <c r="G177" s="74"/>
      <c r="J177" s="74"/>
      <c r="K177" s="74"/>
      <c r="N177" s="74"/>
      <c r="O177" s="74"/>
      <c r="R177" s="74"/>
      <c r="S177" s="74"/>
      <c r="V177" s="74"/>
      <c r="W177" s="74"/>
      <c r="Z177" s="74"/>
      <c r="AC177" s="74"/>
      <c r="AD177" s="74"/>
      <c r="AG177" s="74"/>
      <c r="AH177" s="74"/>
      <c r="AK177" s="74"/>
      <c r="AL177" s="74"/>
      <c r="AO177" s="74"/>
      <c r="AP177" s="74"/>
      <c r="AS177" s="74"/>
      <c r="AT177" s="74"/>
      <c r="AW177" s="74"/>
      <c r="AX177" s="74"/>
      <c r="BA177" s="74"/>
      <c r="BB177" s="74"/>
      <c r="BE177" s="74"/>
      <c r="BF177" s="74"/>
      <c r="BI177" s="74"/>
      <c r="BJ177" s="74"/>
      <c r="BM177" s="26"/>
      <c r="BN177" s="26"/>
      <c r="BQ177" s="26"/>
      <c r="BR177" s="26"/>
      <c r="BU177" s="26"/>
      <c r="BV177" s="26"/>
      <c r="BY177" s="26"/>
      <c r="CB177" s="26"/>
      <c r="CE177" s="26"/>
      <c r="CH177" s="26"/>
      <c r="CK177" s="26"/>
      <c r="CN177" s="26"/>
      <c r="CO177" s="26"/>
      <c r="CX177"/>
    </row>
    <row r="178" spans="2:102" x14ac:dyDescent="0.2">
      <c r="B178" s="26"/>
      <c r="C178" s="26"/>
      <c r="F178" s="74"/>
      <c r="G178" s="74"/>
      <c r="J178" s="74"/>
      <c r="K178" s="74"/>
      <c r="N178" s="74"/>
      <c r="O178" s="74"/>
      <c r="R178" s="74"/>
      <c r="S178" s="74"/>
      <c r="V178" s="74"/>
      <c r="W178" s="74"/>
      <c r="Z178" s="74"/>
      <c r="AC178" s="74"/>
      <c r="AD178" s="74"/>
      <c r="AG178" s="74"/>
      <c r="AH178" s="74"/>
      <c r="AK178" s="74"/>
      <c r="AL178" s="74"/>
      <c r="AO178" s="74"/>
      <c r="AP178" s="74"/>
      <c r="AS178" s="74"/>
      <c r="AT178" s="74"/>
      <c r="AW178" s="74"/>
      <c r="AX178" s="74"/>
      <c r="BA178" s="74"/>
      <c r="BB178" s="74"/>
      <c r="BE178" s="74"/>
      <c r="BF178" s="74"/>
      <c r="BI178" s="74"/>
      <c r="BJ178" s="74"/>
      <c r="BM178" s="26"/>
      <c r="BN178" s="26"/>
      <c r="BQ178" s="26"/>
      <c r="BR178" s="26"/>
      <c r="BU178" s="26"/>
      <c r="BV178" s="26"/>
      <c r="BY178" s="26"/>
      <c r="CB178" s="26"/>
      <c r="CE178" s="26"/>
      <c r="CH178" s="26"/>
      <c r="CK178" s="26"/>
      <c r="CN178" s="26"/>
      <c r="CO178" s="26"/>
      <c r="CX178"/>
    </row>
    <row r="179" spans="2:102" x14ac:dyDescent="0.2">
      <c r="B179" s="26"/>
      <c r="C179" s="26"/>
      <c r="F179" s="74"/>
      <c r="G179" s="74"/>
      <c r="J179" s="74"/>
      <c r="K179" s="74"/>
      <c r="N179" s="74"/>
      <c r="O179" s="74"/>
      <c r="R179" s="74"/>
      <c r="S179" s="74"/>
      <c r="V179" s="74"/>
      <c r="W179" s="74"/>
      <c r="Z179" s="74"/>
      <c r="AC179" s="74"/>
      <c r="AD179" s="74"/>
      <c r="AG179" s="74"/>
      <c r="AH179" s="74"/>
      <c r="AK179" s="74"/>
      <c r="AL179" s="74"/>
      <c r="AO179" s="74"/>
      <c r="AP179" s="74"/>
      <c r="AS179" s="74"/>
      <c r="AT179" s="74"/>
      <c r="AW179" s="74"/>
      <c r="AX179" s="74"/>
      <c r="BA179" s="74"/>
      <c r="BB179" s="74"/>
      <c r="BE179" s="74"/>
      <c r="BF179" s="74"/>
      <c r="BI179" s="74"/>
      <c r="BJ179" s="74"/>
      <c r="BM179" s="26"/>
      <c r="BN179" s="26"/>
      <c r="BQ179" s="26"/>
      <c r="BR179" s="26"/>
      <c r="BU179" s="26"/>
      <c r="BV179" s="26"/>
      <c r="BY179" s="26"/>
      <c r="CB179" s="26"/>
      <c r="CE179" s="26"/>
      <c r="CH179" s="26"/>
      <c r="CK179" s="26"/>
      <c r="CN179" s="26"/>
      <c r="CO179" s="26"/>
      <c r="CX179"/>
    </row>
    <row r="180" spans="2:102" x14ac:dyDescent="0.2">
      <c r="B180" s="26"/>
      <c r="C180" s="26"/>
      <c r="F180" s="74"/>
      <c r="G180" s="74"/>
      <c r="J180" s="74"/>
      <c r="K180" s="74"/>
      <c r="N180" s="74"/>
      <c r="O180" s="74"/>
      <c r="R180" s="74"/>
      <c r="S180" s="74"/>
      <c r="V180" s="74"/>
      <c r="W180" s="74"/>
      <c r="Z180" s="74"/>
      <c r="AC180" s="74"/>
      <c r="AD180" s="74"/>
      <c r="AG180" s="74"/>
      <c r="AH180" s="74"/>
      <c r="AK180" s="74"/>
      <c r="AL180" s="74"/>
      <c r="AO180" s="74"/>
      <c r="AP180" s="74"/>
      <c r="AS180" s="74"/>
      <c r="AT180" s="74"/>
      <c r="AW180" s="74"/>
      <c r="AX180" s="74"/>
      <c r="BA180" s="74"/>
      <c r="BB180" s="74"/>
      <c r="BE180" s="74"/>
      <c r="BF180" s="74"/>
      <c r="BI180" s="74"/>
      <c r="BJ180" s="74"/>
      <c r="BM180" s="26"/>
      <c r="BN180" s="26"/>
      <c r="BQ180" s="26"/>
      <c r="BR180" s="26"/>
      <c r="BU180" s="26"/>
      <c r="BV180" s="26"/>
      <c r="BY180" s="26"/>
      <c r="CB180" s="26"/>
      <c r="CE180" s="26"/>
      <c r="CH180" s="26"/>
      <c r="CK180" s="26"/>
      <c r="CN180" s="26"/>
      <c r="CO180" s="26"/>
      <c r="CX180"/>
    </row>
    <row r="181" spans="2:102" x14ac:dyDescent="0.2">
      <c r="B181" s="26"/>
      <c r="C181" s="26"/>
      <c r="F181" s="74"/>
      <c r="G181" s="74"/>
      <c r="J181" s="74"/>
      <c r="K181" s="74"/>
      <c r="N181" s="74"/>
      <c r="O181" s="74"/>
      <c r="R181" s="74"/>
      <c r="S181" s="74"/>
      <c r="V181" s="74"/>
      <c r="W181" s="74"/>
      <c r="Z181" s="74"/>
      <c r="AC181" s="74"/>
      <c r="AD181" s="74"/>
      <c r="AG181" s="74"/>
      <c r="AH181" s="74"/>
      <c r="AK181" s="74"/>
      <c r="AL181" s="74"/>
      <c r="AO181" s="74"/>
      <c r="AP181" s="74"/>
      <c r="AS181" s="74"/>
      <c r="AT181" s="74"/>
      <c r="AW181" s="74"/>
      <c r="AX181" s="74"/>
      <c r="BA181" s="74"/>
      <c r="BB181" s="74"/>
      <c r="BE181" s="74"/>
      <c r="BF181" s="74"/>
      <c r="BI181" s="74"/>
      <c r="BJ181" s="74"/>
      <c r="BM181" s="26"/>
      <c r="BN181" s="26"/>
      <c r="BQ181" s="26"/>
      <c r="BR181" s="26"/>
      <c r="BU181" s="26"/>
      <c r="BV181" s="26"/>
      <c r="BY181" s="26"/>
      <c r="CB181" s="26"/>
      <c r="CE181" s="26"/>
      <c r="CH181" s="26"/>
      <c r="CK181" s="26"/>
      <c r="CN181" s="26"/>
      <c r="CO181" s="26"/>
      <c r="CX181"/>
    </row>
    <row r="182" spans="2:102" x14ac:dyDescent="0.2">
      <c r="B182" s="26"/>
      <c r="C182" s="26"/>
      <c r="F182" s="74"/>
      <c r="G182" s="74"/>
      <c r="J182" s="74"/>
      <c r="K182" s="74"/>
      <c r="N182" s="74"/>
      <c r="O182" s="74"/>
      <c r="R182" s="74"/>
      <c r="S182" s="74"/>
      <c r="V182" s="74"/>
      <c r="W182" s="74"/>
      <c r="Z182" s="74"/>
      <c r="AC182" s="74"/>
      <c r="AD182" s="74"/>
      <c r="AG182" s="74"/>
      <c r="AH182" s="74"/>
      <c r="AK182" s="74"/>
      <c r="AL182" s="74"/>
      <c r="AO182" s="74"/>
      <c r="AP182" s="74"/>
      <c r="AS182" s="74"/>
      <c r="AT182" s="74"/>
      <c r="AW182" s="74"/>
      <c r="AX182" s="74"/>
      <c r="BA182" s="74"/>
      <c r="BB182" s="74"/>
      <c r="BE182" s="74"/>
      <c r="BF182" s="74"/>
      <c r="BI182" s="74"/>
      <c r="BJ182" s="74"/>
      <c r="BM182" s="26"/>
      <c r="BN182" s="26"/>
      <c r="BQ182" s="26"/>
      <c r="BR182" s="26"/>
      <c r="BU182" s="26"/>
      <c r="BV182" s="26"/>
      <c r="BY182" s="26"/>
      <c r="CB182" s="26"/>
      <c r="CE182" s="26"/>
      <c r="CH182" s="26"/>
      <c r="CK182" s="26"/>
      <c r="CN182" s="26"/>
      <c r="CO182" s="26"/>
      <c r="CX182"/>
    </row>
    <row r="183" spans="2:102" x14ac:dyDescent="0.2">
      <c r="B183" s="26"/>
      <c r="C183" s="26"/>
      <c r="F183" s="74"/>
      <c r="G183" s="74"/>
      <c r="J183" s="74"/>
      <c r="K183" s="74"/>
      <c r="N183" s="74"/>
      <c r="O183" s="74"/>
      <c r="R183" s="74"/>
      <c r="S183" s="74"/>
      <c r="V183" s="74"/>
      <c r="W183" s="74"/>
      <c r="Z183" s="74"/>
      <c r="AC183" s="74"/>
      <c r="AD183" s="74"/>
      <c r="AG183" s="74"/>
      <c r="AH183" s="74"/>
      <c r="AK183" s="74"/>
      <c r="AL183" s="74"/>
      <c r="AO183" s="74"/>
      <c r="AP183" s="74"/>
      <c r="AS183" s="74"/>
      <c r="AT183" s="74"/>
      <c r="AW183" s="74"/>
      <c r="AX183" s="74"/>
      <c r="BA183" s="74"/>
      <c r="BB183" s="74"/>
      <c r="BE183" s="74"/>
      <c r="BF183" s="74"/>
      <c r="BI183" s="74"/>
      <c r="BJ183" s="74"/>
      <c r="BM183" s="26"/>
      <c r="BN183" s="26"/>
      <c r="BQ183" s="26"/>
      <c r="BR183" s="26"/>
      <c r="BU183" s="26"/>
      <c r="BV183" s="26"/>
      <c r="BY183" s="26"/>
      <c r="CB183" s="26"/>
      <c r="CE183" s="26"/>
      <c r="CH183" s="26"/>
      <c r="CK183" s="26"/>
      <c r="CN183" s="26"/>
      <c r="CO183" s="26"/>
      <c r="CX183"/>
    </row>
    <row r="184" spans="2:102" x14ac:dyDescent="0.2">
      <c r="B184" s="26"/>
      <c r="C184" s="26"/>
      <c r="F184" s="74"/>
      <c r="G184" s="74"/>
      <c r="J184" s="74"/>
      <c r="K184" s="74"/>
      <c r="N184" s="74"/>
      <c r="O184" s="74"/>
      <c r="R184" s="74"/>
      <c r="S184" s="74"/>
      <c r="V184" s="74"/>
      <c r="W184" s="74"/>
      <c r="Z184" s="74"/>
      <c r="AC184" s="74"/>
      <c r="AD184" s="74"/>
      <c r="AG184" s="74"/>
      <c r="AH184" s="74"/>
      <c r="AK184" s="74"/>
      <c r="AL184" s="74"/>
      <c r="AO184" s="74"/>
      <c r="AP184" s="74"/>
      <c r="AS184" s="74"/>
      <c r="AT184" s="74"/>
      <c r="AW184" s="74"/>
      <c r="AX184" s="74"/>
      <c r="BA184" s="74"/>
      <c r="BB184" s="74"/>
      <c r="BE184" s="74"/>
      <c r="BF184" s="74"/>
      <c r="BI184" s="74"/>
      <c r="BJ184" s="74"/>
      <c r="BM184" s="26"/>
      <c r="BN184" s="26"/>
      <c r="BQ184" s="26"/>
      <c r="BR184" s="26"/>
      <c r="BU184" s="26"/>
      <c r="BV184" s="26"/>
      <c r="BY184" s="26"/>
      <c r="CB184" s="26"/>
      <c r="CE184" s="26"/>
      <c r="CH184" s="26"/>
      <c r="CK184" s="26"/>
      <c r="CN184" s="26"/>
      <c r="CO184" s="26"/>
      <c r="CX184"/>
    </row>
    <row r="185" spans="2:102" x14ac:dyDescent="0.2">
      <c r="B185" s="26"/>
      <c r="C185" s="26"/>
      <c r="F185" s="74"/>
      <c r="G185" s="74"/>
      <c r="J185" s="74"/>
      <c r="K185" s="74"/>
      <c r="N185" s="74"/>
      <c r="O185" s="74"/>
      <c r="R185" s="74"/>
      <c r="S185" s="74"/>
      <c r="V185" s="74"/>
      <c r="W185" s="74"/>
      <c r="Z185" s="74"/>
      <c r="AC185" s="74"/>
      <c r="AD185" s="74"/>
      <c r="AG185" s="74"/>
      <c r="AH185" s="74"/>
      <c r="AK185" s="74"/>
      <c r="AL185" s="74"/>
      <c r="AO185" s="74"/>
      <c r="AP185" s="74"/>
      <c r="AS185" s="74"/>
      <c r="AT185" s="74"/>
      <c r="AW185" s="74"/>
      <c r="AX185" s="74"/>
      <c r="BA185" s="74"/>
      <c r="BB185" s="74"/>
      <c r="BE185" s="74"/>
      <c r="BF185" s="74"/>
      <c r="BI185" s="74"/>
      <c r="BJ185" s="74"/>
      <c r="BM185" s="26"/>
      <c r="BN185" s="26"/>
      <c r="BQ185" s="26"/>
      <c r="BR185" s="26"/>
      <c r="BU185" s="26"/>
      <c r="BV185" s="26"/>
      <c r="BY185" s="26"/>
      <c r="CB185" s="26"/>
      <c r="CE185" s="26"/>
      <c r="CH185" s="26"/>
      <c r="CK185" s="26"/>
      <c r="CN185" s="26"/>
      <c r="CO185" s="26"/>
      <c r="CX185"/>
    </row>
    <row r="186" spans="2:102" x14ac:dyDescent="0.2">
      <c r="B186" s="26"/>
      <c r="C186" s="26"/>
      <c r="F186" s="74"/>
      <c r="G186" s="74"/>
      <c r="J186" s="74"/>
      <c r="K186" s="74"/>
      <c r="N186" s="74"/>
      <c r="O186" s="74"/>
      <c r="R186" s="74"/>
      <c r="S186" s="74"/>
      <c r="V186" s="74"/>
      <c r="W186" s="74"/>
      <c r="Z186" s="74"/>
      <c r="AC186" s="74"/>
      <c r="AD186" s="74"/>
      <c r="AG186" s="74"/>
      <c r="AH186" s="74"/>
      <c r="AK186" s="74"/>
      <c r="AL186" s="74"/>
      <c r="AO186" s="74"/>
      <c r="AP186" s="74"/>
      <c r="AS186" s="74"/>
      <c r="AT186" s="74"/>
      <c r="AW186" s="74"/>
      <c r="AX186" s="74"/>
      <c r="BA186" s="74"/>
      <c r="BB186" s="74"/>
      <c r="BE186" s="74"/>
      <c r="BF186" s="74"/>
      <c r="BI186" s="74"/>
      <c r="BJ186" s="74"/>
      <c r="BM186" s="26"/>
      <c r="BN186" s="26"/>
      <c r="BQ186" s="26"/>
      <c r="BR186" s="26"/>
      <c r="BU186" s="26"/>
      <c r="BV186" s="26"/>
      <c r="BY186" s="26"/>
      <c r="CB186" s="26"/>
      <c r="CE186" s="26"/>
      <c r="CH186" s="26"/>
      <c r="CK186" s="26"/>
      <c r="CN186" s="26"/>
      <c r="CO186" s="26"/>
      <c r="CX186"/>
    </row>
    <row r="187" spans="2:102" x14ac:dyDescent="0.2">
      <c r="B187" s="26"/>
      <c r="C187" s="26"/>
      <c r="F187" s="74"/>
      <c r="G187" s="74"/>
      <c r="J187" s="74"/>
      <c r="K187" s="74"/>
      <c r="N187" s="74"/>
      <c r="O187" s="74"/>
      <c r="R187" s="74"/>
      <c r="S187" s="74"/>
      <c r="V187" s="74"/>
      <c r="W187" s="74"/>
      <c r="Z187" s="74"/>
      <c r="AC187" s="74"/>
      <c r="AD187" s="74"/>
      <c r="AG187" s="74"/>
      <c r="AH187" s="74"/>
      <c r="AK187" s="74"/>
      <c r="AL187" s="74"/>
      <c r="AO187" s="74"/>
      <c r="AP187" s="74"/>
      <c r="AS187" s="74"/>
      <c r="AT187" s="74"/>
      <c r="AW187" s="74"/>
      <c r="AX187" s="74"/>
      <c r="BA187" s="74"/>
      <c r="BB187" s="74"/>
      <c r="BE187" s="74"/>
      <c r="BF187" s="74"/>
      <c r="BI187" s="74"/>
      <c r="BJ187" s="74"/>
      <c r="BM187" s="26"/>
      <c r="BN187" s="26"/>
      <c r="BQ187" s="26"/>
      <c r="BR187" s="26"/>
      <c r="BU187" s="26"/>
      <c r="BV187" s="26"/>
      <c r="BY187" s="26"/>
      <c r="CB187" s="26"/>
      <c r="CE187" s="26"/>
      <c r="CH187" s="26"/>
      <c r="CK187" s="26"/>
      <c r="CN187" s="26"/>
      <c r="CO187" s="26"/>
      <c r="CX187"/>
    </row>
    <row r="188" spans="2:102" x14ac:dyDescent="0.2">
      <c r="B188" s="26"/>
      <c r="C188" s="26"/>
      <c r="F188" s="74"/>
      <c r="G188" s="74"/>
      <c r="J188" s="74"/>
      <c r="K188" s="74"/>
      <c r="N188" s="74"/>
      <c r="O188" s="74"/>
      <c r="R188" s="74"/>
      <c r="S188" s="74"/>
      <c r="V188" s="74"/>
      <c r="W188" s="74"/>
      <c r="Z188" s="74"/>
      <c r="AC188" s="74"/>
      <c r="AD188" s="74"/>
      <c r="AG188" s="74"/>
      <c r="AH188" s="74"/>
      <c r="AK188" s="74"/>
      <c r="AL188" s="74"/>
      <c r="AO188" s="74"/>
      <c r="AP188" s="74"/>
      <c r="AS188" s="74"/>
      <c r="AT188" s="74"/>
      <c r="AW188" s="74"/>
      <c r="AX188" s="74"/>
      <c r="BA188" s="74"/>
      <c r="BB188" s="74"/>
      <c r="BE188" s="74"/>
      <c r="BF188" s="74"/>
      <c r="BI188" s="74"/>
      <c r="BJ188" s="74"/>
      <c r="BM188" s="26"/>
      <c r="BN188" s="26"/>
      <c r="BQ188" s="26"/>
      <c r="BR188" s="26"/>
      <c r="BU188" s="26"/>
      <c r="BV188" s="26"/>
      <c r="BY188" s="26"/>
      <c r="CB188" s="26"/>
      <c r="CE188" s="26"/>
      <c r="CH188" s="26"/>
      <c r="CK188" s="26"/>
      <c r="CN188" s="26"/>
      <c r="CO188" s="26"/>
      <c r="CX188"/>
    </row>
    <row r="189" spans="2:102" x14ac:dyDescent="0.2">
      <c r="B189" s="26"/>
      <c r="C189" s="26"/>
      <c r="F189" s="74"/>
      <c r="G189" s="74"/>
      <c r="J189" s="74"/>
      <c r="K189" s="74"/>
      <c r="N189" s="74"/>
      <c r="O189" s="74"/>
      <c r="R189" s="74"/>
      <c r="S189" s="74"/>
      <c r="V189" s="74"/>
      <c r="W189" s="74"/>
      <c r="Z189" s="74"/>
      <c r="AC189" s="74"/>
      <c r="AD189" s="74"/>
      <c r="AG189" s="74"/>
      <c r="AH189" s="74"/>
      <c r="AK189" s="74"/>
      <c r="AL189" s="74"/>
      <c r="AO189" s="74"/>
      <c r="AP189" s="74"/>
      <c r="AS189" s="74"/>
      <c r="AT189" s="74"/>
      <c r="AW189" s="74"/>
      <c r="AX189" s="74"/>
      <c r="BA189" s="74"/>
      <c r="BB189" s="74"/>
      <c r="BE189" s="74"/>
      <c r="BF189" s="74"/>
      <c r="BI189" s="74"/>
      <c r="BJ189" s="74"/>
      <c r="BM189" s="26"/>
      <c r="BN189" s="26"/>
      <c r="BQ189" s="26"/>
      <c r="BR189" s="26"/>
      <c r="BU189" s="26"/>
      <c r="BV189" s="26"/>
      <c r="BY189" s="26"/>
      <c r="CB189" s="26"/>
      <c r="CE189" s="26"/>
      <c r="CH189" s="26"/>
      <c r="CK189" s="26"/>
      <c r="CN189" s="26"/>
      <c r="CO189" s="26"/>
      <c r="CX189"/>
    </row>
    <row r="190" spans="2:102" x14ac:dyDescent="0.2">
      <c r="B190" s="26"/>
      <c r="C190" s="26"/>
      <c r="F190" s="74"/>
      <c r="G190" s="74"/>
      <c r="J190" s="74"/>
      <c r="K190" s="74"/>
      <c r="N190" s="74"/>
      <c r="O190" s="74"/>
      <c r="R190" s="74"/>
      <c r="S190" s="74"/>
      <c r="V190" s="74"/>
      <c r="W190" s="74"/>
      <c r="Z190" s="74"/>
      <c r="AC190" s="74"/>
      <c r="AD190" s="74"/>
      <c r="AG190" s="74"/>
      <c r="AH190" s="74"/>
      <c r="AK190" s="74"/>
      <c r="AL190" s="74"/>
      <c r="AO190" s="74"/>
      <c r="AP190" s="74"/>
      <c r="AS190" s="74"/>
      <c r="AT190" s="74"/>
      <c r="AW190" s="74"/>
      <c r="AX190" s="74"/>
      <c r="BA190" s="74"/>
      <c r="BB190" s="74"/>
      <c r="BE190" s="74"/>
      <c r="BF190" s="74"/>
      <c r="BI190" s="74"/>
      <c r="BJ190" s="74"/>
      <c r="BM190" s="26"/>
      <c r="BN190" s="26"/>
      <c r="BQ190" s="26"/>
      <c r="BR190" s="26"/>
      <c r="BU190" s="26"/>
      <c r="BV190" s="26"/>
      <c r="BY190" s="26"/>
      <c r="CB190" s="26"/>
      <c r="CE190" s="26"/>
      <c r="CH190" s="26"/>
      <c r="CK190" s="26"/>
      <c r="CN190" s="26"/>
      <c r="CO190" s="26"/>
      <c r="CX190"/>
    </row>
    <row r="191" spans="2:102" x14ac:dyDescent="0.2">
      <c r="B191" s="26"/>
      <c r="C191" s="26"/>
      <c r="F191" s="74"/>
      <c r="G191" s="74"/>
      <c r="J191" s="74"/>
      <c r="K191" s="74"/>
      <c r="N191" s="74"/>
      <c r="O191" s="74"/>
      <c r="R191" s="74"/>
      <c r="S191" s="74"/>
      <c r="V191" s="74"/>
      <c r="W191" s="74"/>
      <c r="Z191" s="74"/>
      <c r="AC191" s="74"/>
      <c r="AD191" s="74"/>
      <c r="AG191" s="74"/>
      <c r="AH191" s="74"/>
      <c r="AK191" s="74"/>
      <c r="AL191" s="74"/>
      <c r="AO191" s="74"/>
      <c r="AP191" s="74"/>
      <c r="AS191" s="74"/>
      <c r="AT191" s="74"/>
      <c r="AW191" s="74"/>
      <c r="AX191" s="74"/>
      <c r="BA191" s="74"/>
      <c r="BB191" s="74"/>
      <c r="BE191" s="74"/>
      <c r="BF191" s="74"/>
      <c r="BI191" s="74"/>
      <c r="BJ191" s="74"/>
      <c r="BM191" s="26"/>
      <c r="BN191" s="26"/>
      <c r="BQ191" s="26"/>
      <c r="BR191" s="26"/>
      <c r="BU191" s="26"/>
      <c r="BV191" s="26"/>
      <c r="BY191" s="26"/>
      <c r="CB191" s="26"/>
      <c r="CE191" s="26"/>
      <c r="CH191" s="26"/>
      <c r="CK191" s="26"/>
      <c r="CN191" s="26"/>
      <c r="CO191" s="26"/>
      <c r="CX191"/>
    </row>
    <row r="192" spans="2:102" x14ac:dyDescent="0.2">
      <c r="B192" s="26"/>
      <c r="C192" s="26"/>
      <c r="F192" s="74"/>
      <c r="G192" s="74"/>
      <c r="J192" s="74"/>
      <c r="K192" s="74"/>
      <c r="N192" s="74"/>
      <c r="O192" s="74"/>
      <c r="R192" s="74"/>
      <c r="S192" s="74"/>
      <c r="V192" s="74"/>
      <c r="W192" s="74"/>
      <c r="Z192" s="74"/>
      <c r="AC192" s="74"/>
      <c r="AD192" s="74"/>
      <c r="AG192" s="74"/>
      <c r="AH192" s="74"/>
      <c r="AK192" s="74"/>
      <c r="AL192" s="74"/>
      <c r="AO192" s="74"/>
      <c r="AP192" s="74"/>
      <c r="AS192" s="74"/>
      <c r="AT192" s="74"/>
      <c r="AW192" s="74"/>
      <c r="AX192" s="74"/>
      <c r="BA192" s="74"/>
      <c r="BB192" s="74"/>
      <c r="BE192" s="74"/>
      <c r="BF192" s="74"/>
      <c r="BI192" s="74"/>
      <c r="BJ192" s="74"/>
      <c r="BM192" s="26"/>
      <c r="BN192" s="26"/>
      <c r="BQ192" s="26"/>
      <c r="BR192" s="26"/>
      <c r="BU192" s="26"/>
      <c r="BV192" s="26"/>
      <c r="BY192" s="26"/>
      <c r="CB192" s="26"/>
      <c r="CE192" s="26"/>
      <c r="CH192" s="26"/>
      <c r="CK192" s="26"/>
      <c r="CN192" s="26"/>
      <c r="CO192" s="26"/>
      <c r="CX192"/>
    </row>
    <row r="193" spans="2:102" x14ac:dyDescent="0.2">
      <c r="B193" s="26"/>
      <c r="C193" s="26"/>
      <c r="F193" s="74"/>
      <c r="G193" s="74"/>
      <c r="J193" s="74"/>
      <c r="K193" s="74"/>
      <c r="N193" s="74"/>
      <c r="O193" s="74"/>
      <c r="R193" s="74"/>
      <c r="S193" s="74"/>
      <c r="V193" s="74"/>
      <c r="W193" s="74"/>
      <c r="Z193" s="74"/>
      <c r="AC193" s="74"/>
      <c r="AD193" s="74"/>
      <c r="AG193" s="74"/>
      <c r="AH193" s="74"/>
      <c r="AK193" s="74"/>
      <c r="AL193" s="74"/>
      <c r="AO193" s="74"/>
      <c r="AP193" s="74"/>
      <c r="AS193" s="74"/>
      <c r="AT193" s="74"/>
      <c r="AW193" s="74"/>
      <c r="AX193" s="74"/>
      <c r="BA193" s="74"/>
      <c r="BB193" s="74"/>
      <c r="BE193" s="74"/>
      <c r="BF193" s="74"/>
      <c r="BI193" s="74"/>
      <c r="BJ193" s="74"/>
      <c r="BM193" s="26"/>
      <c r="BN193" s="26"/>
      <c r="BQ193" s="26"/>
      <c r="BR193" s="26"/>
      <c r="BU193" s="26"/>
      <c r="BV193" s="26"/>
      <c r="BY193" s="26"/>
      <c r="CB193" s="26"/>
      <c r="CE193" s="26"/>
      <c r="CH193" s="26"/>
      <c r="CK193" s="26"/>
      <c r="CN193" s="26"/>
      <c r="CO193" s="26"/>
      <c r="CX193"/>
    </row>
    <row r="194" spans="2:102" x14ac:dyDescent="0.2">
      <c r="B194" s="26"/>
      <c r="C194" s="26"/>
      <c r="F194" s="74"/>
      <c r="G194" s="74"/>
      <c r="J194" s="74"/>
      <c r="K194" s="74"/>
      <c r="N194" s="74"/>
      <c r="O194" s="74"/>
      <c r="R194" s="74"/>
      <c r="S194" s="74"/>
      <c r="V194" s="74"/>
      <c r="W194" s="74"/>
      <c r="Z194" s="74"/>
      <c r="AC194" s="74"/>
      <c r="AD194" s="74"/>
      <c r="AG194" s="74"/>
      <c r="AH194" s="74"/>
      <c r="AK194" s="74"/>
      <c r="AL194" s="74"/>
      <c r="AO194" s="74"/>
      <c r="AP194" s="74"/>
      <c r="AS194" s="74"/>
      <c r="AT194" s="74"/>
      <c r="AW194" s="74"/>
      <c r="AX194" s="74"/>
      <c r="BA194" s="74"/>
      <c r="BB194" s="74"/>
      <c r="BE194" s="74"/>
      <c r="BF194" s="74"/>
      <c r="BI194" s="74"/>
      <c r="BJ194" s="74"/>
      <c r="BM194" s="26"/>
      <c r="BN194" s="26"/>
      <c r="BQ194" s="26"/>
      <c r="BR194" s="26"/>
      <c r="BU194" s="26"/>
      <c r="BV194" s="26"/>
      <c r="BY194" s="26"/>
      <c r="CB194" s="26"/>
      <c r="CE194" s="26"/>
      <c r="CH194" s="26"/>
      <c r="CK194" s="26"/>
      <c r="CN194" s="26"/>
      <c r="CO194" s="26"/>
      <c r="CX194"/>
    </row>
    <row r="195" spans="2:102" x14ac:dyDescent="0.2">
      <c r="B195" s="26"/>
      <c r="C195" s="26"/>
      <c r="F195" s="74"/>
      <c r="G195" s="74"/>
      <c r="J195" s="74"/>
      <c r="K195" s="74"/>
      <c r="N195" s="74"/>
      <c r="O195" s="74"/>
      <c r="R195" s="74"/>
      <c r="S195" s="74"/>
      <c r="V195" s="74"/>
      <c r="W195" s="74"/>
      <c r="Z195" s="74"/>
      <c r="AC195" s="74"/>
      <c r="AD195" s="74"/>
      <c r="AG195" s="74"/>
      <c r="AH195" s="74"/>
      <c r="AK195" s="74"/>
      <c r="AL195" s="74"/>
      <c r="AO195" s="74"/>
      <c r="AP195" s="74"/>
      <c r="AS195" s="74"/>
      <c r="AT195" s="74"/>
      <c r="AW195" s="74"/>
      <c r="AX195" s="74"/>
      <c r="BA195" s="74"/>
      <c r="BB195" s="74"/>
      <c r="BE195" s="74"/>
      <c r="BF195" s="74"/>
      <c r="BI195" s="74"/>
      <c r="BJ195" s="74"/>
      <c r="BM195" s="26"/>
      <c r="BN195" s="26"/>
      <c r="BQ195" s="26"/>
      <c r="BR195" s="26"/>
      <c r="BU195" s="26"/>
      <c r="BV195" s="26"/>
      <c r="BY195" s="26"/>
      <c r="CB195" s="26"/>
      <c r="CE195" s="26"/>
      <c r="CH195" s="26"/>
      <c r="CK195" s="26"/>
      <c r="CN195" s="26"/>
      <c r="CO195" s="26"/>
      <c r="CX195"/>
    </row>
    <row r="196" spans="2:102" x14ac:dyDescent="0.2">
      <c r="B196" s="26"/>
      <c r="C196" s="26"/>
      <c r="F196" s="74"/>
      <c r="G196" s="74"/>
      <c r="J196" s="74"/>
      <c r="K196" s="74"/>
      <c r="N196" s="74"/>
      <c r="O196" s="74"/>
      <c r="R196" s="74"/>
      <c r="S196" s="74"/>
      <c r="V196" s="74"/>
      <c r="W196" s="74"/>
      <c r="Z196" s="74"/>
      <c r="AC196" s="74"/>
      <c r="AD196" s="74"/>
      <c r="AG196" s="74"/>
      <c r="AH196" s="74"/>
      <c r="AK196" s="74"/>
      <c r="AL196" s="74"/>
      <c r="AO196" s="74"/>
      <c r="AP196" s="74"/>
      <c r="AS196" s="74"/>
      <c r="AT196" s="74"/>
      <c r="AW196" s="74"/>
      <c r="AX196" s="74"/>
      <c r="BA196" s="74"/>
      <c r="BB196" s="74"/>
      <c r="BE196" s="74"/>
      <c r="BF196" s="74"/>
      <c r="BI196" s="74"/>
      <c r="BJ196" s="74"/>
      <c r="BM196" s="26"/>
      <c r="BN196" s="26"/>
      <c r="BQ196" s="26"/>
      <c r="BR196" s="26"/>
      <c r="BU196" s="26"/>
      <c r="BV196" s="26"/>
      <c r="BY196" s="26"/>
      <c r="CB196" s="26"/>
      <c r="CE196" s="26"/>
      <c r="CH196" s="26"/>
      <c r="CK196" s="26"/>
      <c r="CN196" s="26"/>
      <c r="CO196" s="26"/>
      <c r="CX196"/>
    </row>
    <row r="197" spans="2:102" x14ac:dyDescent="0.2">
      <c r="B197" s="26"/>
      <c r="C197" s="26"/>
      <c r="F197" s="74"/>
      <c r="G197" s="74"/>
      <c r="J197" s="74"/>
      <c r="K197" s="74"/>
      <c r="N197" s="74"/>
      <c r="O197" s="74"/>
      <c r="R197" s="74"/>
      <c r="S197" s="74"/>
      <c r="V197" s="74"/>
      <c r="W197" s="74"/>
      <c r="Z197" s="74"/>
      <c r="AC197" s="74"/>
      <c r="AD197" s="74"/>
      <c r="AG197" s="74"/>
      <c r="AH197" s="74"/>
      <c r="AK197" s="74"/>
      <c r="AL197" s="74"/>
      <c r="AO197" s="74"/>
      <c r="AP197" s="74"/>
      <c r="AS197" s="74"/>
      <c r="AT197" s="74"/>
      <c r="AW197" s="74"/>
      <c r="AX197" s="74"/>
      <c r="BA197" s="74"/>
      <c r="BB197" s="74"/>
      <c r="BE197" s="74"/>
      <c r="BF197" s="74"/>
      <c r="BI197" s="74"/>
      <c r="BJ197" s="74"/>
      <c r="BM197" s="26"/>
      <c r="BN197" s="26"/>
      <c r="BQ197" s="26"/>
      <c r="BR197" s="26"/>
      <c r="BU197" s="26"/>
      <c r="BV197" s="26"/>
      <c r="BY197" s="26"/>
      <c r="CB197" s="26"/>
      <c r="CE197" s="26"/>
      <c r="CH197" s="26"/>
      <c r="CK197" s="26"/>
      <c r="CN197" s="26"/>
      <c r="CO197" s="26"/>
      <c r="CX197"/>
    </row>
    <row r="198" spans="2:102" x14ac:dyDescent="0.2">
      <c r="B198" s="26"/>
      <c r="C198" s="26"/>
      <c r="F198" s="74"/>
      <c r="G198" s="74"/>
      <c r="J198" s="74"/>
      <c r="K198" s="74"/>
      <c r="N198" s="74"/>
      <c r="O198" s="74"/>
      <c r="R198" s="74"/>
      <c r="S198" s="74"/>
      <c r="V198" s="74"/>
      <c r="W198" s="74"/>
      <c r="Z198" s="74"/>
      <c r="AC198" s="74"/>
      <c r="AD198" s="74"/>
      <c r="AG198" s="74"/>
      <c r="AH198" s="74"/>
      <c r="AK198" s="74"/>
      <c r="AL198" s="74"/>
      <c r="AO198" s="74"/>
      <c r="AP198" s="74"/>
      <c r="AS198" s="74"/>
      <c r="AT198" s="74"/>
      <c r="AW198" s="74"/>
      <c r="AX198" s="74"/>
      <c r="BA198" s="74"/>
      <c r="BB198" s="74"/>
      <c r="BE198" s="74"/>
      <c r="BF198" s="74"/>
      <c r="BI198" s="74"/>
      <c r="BJ198" s="74"/>
      <c r="BM198" s="26"/>
      <c r="BN198" s="26"/>
      <c r="BQ198" s="26"/>
      <c r="BR198" s="26"/>
      <c r="BU198" s="26"/>
      <c r="BV198" s="26"/>
      <c r="BY198" s="26"/>
      <c r="CB198" s="26"/>
      <c r="CE198" s="26"/>
      <c r="CH198" s="26"/>
      <c r="CK198" s="26"/>
      <c r="CN198" s="26"/>
      <c r="CO198" s="26"/>
      <c r="CX198"/>
    </row>
    <row r="199" spans="2:102" x14ac:dyDescent="0.2">
      <c r="B199" s="26"/>
      <c r="C199" s="26"/>
      <c r="F199" s="74"/>
      <c r="G199" s="74"/>
      <c r="J199" s="74"/>
      <c r="K199" s="74"/>
      <c r="N199" s="74"/>
      <c r="O199" s="74"/>
      <c r="R199" s="74"/>
      <c r="S199" s="74"/>
      <c r="V199" s="74"/>
      <c r="W199" s="74"/>
      <c r="Z199" s="74"/>
      <c r="AC199" s="74"/>
      <c r="AD199" s="74"/>
      <c r="AG199" s="74"/>
      <c r="AH199" s="74"/>
      <c r="AK199" s="74"/>
      <c r="AL199" s="74"/>
      <c r="AO199" s="74"/>
      <c r="AP199" s="74"/>
      <c r="AS199" s="74"/>
      <c r="AT199" s="74"/>
      <c r="AW199" s="74"/>
      <c r="AX199" s="74"/>
      <c r="BA199" s="74"/>
      <c r="BB199" s="74"/>
      <c r="BE199" s="74"/>
      <c r="BF199" s="74"/>
      <c r="BI199" s="74"/>
      <c r="BJ199" s="74"/>
      <c r="BM199" s="26"/>
      <c r="BN199" s="26"/>
      <c r="BQ199" s="26"/>
      <c r="BR199" s="26"/>
      <c r="BU199" s="26"/>
      <c r="BV199" s="26"/>
      <c r="BY199" s="26"/>
      <c r="CB199" s="26"/>
      <c r="CE199" s="26"/>
      <c r="CH199" s="26"/>
      <c r="CK199" s="26"/>
      <c r="CN199" s="26"/>
      <c r="CO199" s="26"/>
      <c r="CX199"/>
    </row>
    <row r="200" spans="2:102" x14ac:dyDescent="0.2">
      <c r="B200" s="26"/>
      <c r="C200" s="26"/>
      <c r="F200" s="74"/>
      <c r="G200" s="74"/>
      <c r="J200" s="74"/>
      <c r="K200" s="74"/>
      <c r="N200" s="74"/>
      <c r="O200" s="74"/>
      <c r="R200" s="74"/>
      <c r="S200" s="74"/>
      <c r="V200" s="74"/>
      <c r="W200" s="74"/>
      <c r="Z200" s="74"/>
      <c r="AC200" s="74"/>
      <c r="AD200" s="74"/>
      <c r="AG200" s="74"/>
      <c r="AH200" s="74"/>
      <c r="AK200" s="74"/>
      <c r="AL200" s="74"/>
      <c r="AO200" s="74"/>
      <c r="AP200" s="74"/>
      <c r="AS200" s="74"/>
      <c r="AT200" s="74"/>
      <c r="AW200" s="74"/>
      <c r="AX200" s="74"/>
      <c r="BA200" s="74"/>
      <c r="BB200" s="74"/>
      <c r="BE200" s="74"/>
      <c r="BF200" s="74"/>
      <c r="BI200" s="74"/>
      <c r="BJ200" s="74"/>
      <c r="BM200" s="26"/>
      <c r="BN200" s="26"/>
      <c r="BQ200" s="26"/>
      <c r="BR200" s="26"/>
      <c r="BU200" s="26"/>
      <c r="BV200" s="26"/>
      <c r="BY200" s="26"/>
      <c r="CB200" s="26"/>
      <c r="CE200" s="26"/>
      <c r="CH200" s="26"/>
      <c r="CK200" s="26"/>
      <c r="CN200" s="26"/>
      <c r="CO200" s="26"/>
      <c r="CX200"/>
    </row>
    <row r="201" spans="2:102" x14ac:dyDescent="0.2">
      <c r="B201" s="26"/>
      <c r="C201" s="26"/>
      <c r="F201" s="74"/>
      <c r="G201" s="74"/>
      <c r="J201" s="74"/>
      <c r="K201" s="74"/>
      <c r="N201" s="74"/>
      <c r="O201" s="74"/>
      <c r="R201" s="74"/>
      <c r="S201" s="74"/>
      <c r="V201" s="74"/>
      <c r="W201" s="74"/>
      <c r="Z201" s="74"/>
      <c r="AC201" s="74"/>
      <c r="AD201" s="74"/>
      <c r="AG201" s="74"/>
      <c r="AH201" s="74"/>
      <c r="AK201" s="74"/>
      <c r="AL201" s="74"/>
      <c r="AO201" s="74"/>
      <c r="AP201" s="74"/>
      <c r="AS201" s="74"/>
      <c r="AT201" s="74"/>
      <c r="AW201" s="74"/>
      <c r="AX201" s="74"/>
      <c r="BA201" s="74"/>
      <c r="BB201" s="74"/>
      <c r="BE201" s="74"/>
      <c r="BF201" s="74"/>
      <c r="BI201" s="74"/>
      <c r="BJ201" s="74"/>
      <c r="BM201" s="26"/>
      <c r="BN201" s="26"/>
      <c r="BQ201" s="26"/>
      <c r="BR201" s="26"/>
      <c r="BU201" s="26"/>
      <c r="BV201" s="26"/>
      <c r="BY201" s="26"/>
      <c r="CB201" s="26"/>
      <c r="CE201" s="26"/>
      <c r="CH201" s="26"/>
      <c r="CK201" s="26"/>
      <c r="CN201" s="26"/>
      <c r="CO201" s="26"/>
      <c r="CX201"/>
    </row>
    <row r="202" spans="2:102" x14ac:dyDescent="0.2">
      <c r="B202" s="26"/>
      <c r="C202" s="26"/>
      <c r="F202" s="74"/>
      <c r="G202" s="74"/>
      <c r="J202" s="74"/>
      <c r="K202" s="74"/>
      <c r="N202" s="74"/>
      <c r="O202" s="74"/>
      <c r="R202" s="74"/>
      <c r="S202" s="74"/>
      <c r="V202" s="74"/>
      <c r="W202" s="74"/>
      <c r="Z202" s="74"/>
      <c r="AC202" s="74"/>
      <c r="AD202" s="74"/>
      <c r="AG202" s="74"/>
      <c r="AH202" s="74"/>
      <c r="AK202" s="74"/>
      <c r="AL202" s="74"/>
      <c r="AO202" s="74"/>
      <c r="AP202" s="74"/>
      <c r="AS202" s="74"/>
      <c r="AT202" s="74"/>
      <c r="AW202" s="74"/>
      <c r="AX202" s="74"/>
      <c r="BA202" s="74"/>
      <c r="BB202" s="74"/>
      <c r="BE202" s="74"/>
      <c r="BF202" s="74"/>
      <c r="BI202" s="74"/>
      <c r="BJ202" s="74"/>
      <c r="BM202" s="26"/>
      <c r="BN202" s="26"/>
      <c r="BQ202" s="26"/>
      <c r="BR202" s="26"/>
      <c r="BU202" s="26"/>
      <c r="BV202" s="26"/>
      <c r="BY202" s="26"/>
      <c r="CB202" s="26"/>
      <c r="CE202" s="26"/>
      <c r="CH202" s="26"/>
      <c r="CK202" s="26"/>
      <c r="CN202" s="26"/>
      <c r="CO202" s="26"/>
      <c r="CX202"/>
    </row>
    <row r="203" spans="2:102" x14ac:dyDescent="0.2">
      <c r="B203" s="26"/>
      <c r="C203" s="26"/>
      <c r="F203" s="74"/>
      <c r="G203" s="74"/>
      <c r="J203" s="74"/>
      <c r="K203" s="74"/>
      <c r="N203" s="74"/>
      <c r="O203" s="74"/>
      <c r="R203" s="74"/>
      <c r="S203" s="74"/>
      <c r="V203" s="74"/>
      <c r="W203" s="74"/>
      <c r="Z203" s="74"/>
      <c r="AC203" s="74"/>
      <c r="AD203" s="74"/>
      <c r="AG203" s="74"/>
      <c r="AH203" s="74"/>
      <c r="AK203" s="74"/>
      <c r="AL203" s="74"/>
      <c r="AO203" s="74"/>
      <c r="AP203" s="74"/>
      <c r="AS203" s="74"/>
      <c r="AT203" s="74"/>
      <c r="AW203" s="74"/>
      <c r="AX203" s="74"/>
      <c r="BA203" s="74"/>
      <c r="BB203" s="74"/>
      <c r="BE203" s="74"/>
      <c r="BF203" s="74"/>
      <c r="BI203" s="74"/>
      <c r="BJ203" s="74"/>
      <c r="BM203" s="26"/>
      <c r="BN203" s="26"/>
      <c r="BQ203" s="26"/>
      <c r="BR203" s="26"/>
      <c r="BU203" s="26"/>
      <c r="BV203" s="26"/>
      <c r="BY203" s="26"/>
      <c r="CB203" s="26"/>
      <c r="CE203" s="26"/>
      <c r="CH203" s="26"/>
      <c r="CK203" s="26"/>
      <c r="CN203" s="26"/>
      <c r="CO203" s="26"/>
      <c r="CX203"/>
    </row>
    <row r="204" spans="2:102" x14ac:dyDescent="0.2">
      <c r="B204" s="26"/>
      <c r="C204" s="26"/>
      <c r="F204" s="74"/>
      <c r="G204" s="74"/>
      <c r="J204" s="74"/>
      <c r="K204" s="74"/>
      <c r="N204" s="74"/>
      <c r="O204" s="74"/>
      <c r="R204" s="74"/>
      <c r="S204" s="74"/>
      <c r="V204" s="74"/>
      <c r="W204" s="74"/>
      <c r="Z204" s="74"/>
      <c r="AC204" s="74"/>
      <c r="AD204" s="74"/>
      <c r="AG204" s="74"/>
      <c r="AH204" s="74"/>
      <c r="AK204" s="74"/>
      <c r="AL204" s="74"/>
      <c r="AO204" s="74"/>
      <c r="AP204" s="74"/>
      <c r="AS204" s="74"/>
      <c r="AT204" s="74"/>
      <c r="AW204" s="74"/>
      <c r="AX204" s="74"/>
      <c r="BA204" s="74"/>
      <c r="BB204" s="74"/>
      <c r="BE204" s="74"/>
      <c r="BF204" s="74"/>
      <c r="BI204" s="74"/>
      <c r="BJ204" s="74"/>
      <c r="BM204" s="26"/>
      <c r="BN204" s="26"/>
      <c r="BQ204" s="26"/>
      <c r="BR204" s="26"/>
      <c r="BU204" s="26"/>
      <c r="BV204" s="26"/>
      <c r="BY204" s="26"/>
      <c r="CB204" s="26"/>
      <c r="CE204" s="26"/>
      <c r="CH204" s="26"/>
      <c r="CK204" s="26"/>
      <c r="CN204" s="26"/>
      <c r="CO204" s="26"/>
      <c r="CX204"/>
    </row>
    <row r="205" spans="2:102" x14ac:dyDescent="0.2">
      <c r="B205" s="26"/>
      <c r="C205" s="26"/>
      <c r="F205" s="74"/>
      <c r="G205" s="74"/>
      <c r="J205" s="74"/>
      <c r="K205" s="74"/>
      <c r="N205" s="74"/>
      <c r="O205" s="74"/>
      <c r="R205" s="74"/>
      <c r="S205" s="74"/>
      <c r="V205" s="74"/>
      <c r="W205" s="74"/>
      <c r="Z205" s="74"/>
      <c r="AC205" s="74"/>
      <c r="AD205" s="74"/>
      <c r="AG205" s="74"/>
      <c r="AH205" s="74"/>
      <c r="AK205" s="74"/>
      <c r="AL205" s="74"/>
      <c r="AO205" s="74"/>
      <c r="AP205" s="74"/>
      <c r="AS205" s="74"/>
      <c r="AT205" s="74"/>
      <c r="AW205" s="74"/>
      <c r="AX205" s="74"/>
      <c r="BA205" s="74"/>
      <c r="BB205" s="74"/>
      <c r="BE205" s="74"/>
      <c r="BF205" s="74"/>
      <c r="BI205" s="74"/>
      <c r="BJ205" s="74"/>
      <c r="BM205" s="26"/>
      <c r="BN205" s="26"/>
      <c r="BQ205" s="26"/>
      <c r="BR205" s="26"/>
      <c r="BU205" s="26"/>
      <c r="BV205" s="26"/>
      <c r="BY205" s="26"/>
      <c r="CB205" s="26"/>
      <c r="CE205" s="26"/>
      <c r="CH205" s="26"/>
      <c r="CK205" s="26"/>
      <c r="CN205" s="26"/>
      <c r="CO205" s="26"/>
      <c r="CX205"/>
    </row>
    <row r="206" spans="2:102" x14ac:dyDescent="0.2">
      <c r="B206" s="26"/>
      <c r="C206" s="26"/>
      <c r="F206" s="74"/>
      <c r="G206" s="74"/>
      <c r="J206" s="74"/>
      <c r="K206" s="74"/>
      <c r="N206" s="74"/>
      <c r="O206" s="74"/>
      <c r="R206" s="74"/>
      <c r="S206" s="74"/>
      <c r="V206" s="74"/>
      <c r="W206" s="74"/>
      <c r="Z206" s="74"/>
      <c r="AC206" s="74"/>
      <c r="AD206" s="74"/>
      <c r="AG206" s="74"/>
      <c r="AH206" s="74"/>
      <c r="AK206" s="74"/>
      <c r="AL206" s="74"/>
      <c r="AO206" s="74"/>
      <c r="AP206" s="74"/>
      <c r="AS206" s="74"/>
      <c r="AT206" s="74"/>
      <c r="AW206" s="74"/>
      <c r="AX206" s="74"/>
      <c r="BA206" s="74"/>
      <c r="BB206" s="74"/>
      <c r="BE206" s="74"/>
      <c r="BF206" s="74"/>
      <c r="BI206" s="74"/>
      <c r="BJ206" s="74"/>
      <c r="BM206" s="26"/>
      <c r="BN206" s="26"/>
      <c r="BQ206" s="26"/>
      <c r="BR206" s="26"/>
      <c r="BU206" s="26"/>
      <c r="BV206" s="26"/>
      <c r="BY206" s="26"/>
      <c r="CB206" s="26"/>
      <c r="CE206" s="26"/>
      <c r="CH206" s="26"/>
      <c r="CK206" s="26"/>
      <c r="CN206" s="26"/>
      <c r="CO206" s="26"/>
      <c r="CX206"/>
    </row>
    <row r="207" spans="2:102" x14ac:dyDescent="0.2">
      <c r="B207" s="26"/>
      <c r="C207" s="26"/>
      <c r="F207" s="74"/>
      <c r="G207" s="74"/>
      <c r="J207" s="74"/>
      <c r="K207" s="74"/>
      <c r="N207" s="74"/>
      <c r="O207" s="74"/>
      <c r="R207" s="74"/>
      <c r="S207" s="74"/>
      <c r="V207" s="74"/>
      <c r="W207" s="74"/>
      <c r="Z207" s="74"/>
      <c r="AC207" s="74"/>
      <c r="AD207" s="74"/>
      <c r="AG207" s="74"/>
      <c r="AH207" s="74"/>
      <c r="AK207" s="74"/>
      <c r="AL207" s="74"/>
      <c r="AO207" s="74"/>
      <c r="AP207" s="74"/>
      <c r="AS207" s="74"/>
      <c r="AT207" s="74"/>
      <c r="AW207" s="74"/>
      <c r="AX207" s="74"/>
      <c r="BA207" s="74"/>
      <c r="BB207" s="74"/>
      <c r="BE207" s="74"/>
      <c r="BF207" s="74"/>
      <c r="BI207" s="74"/>
      <c r="BJ207" s="74"/>
      <c r="BM207" s="26"/>
      <c r="BN207" s="26"/>
      <c r="BQ207" s="26"/>
      <c r="BR207" s="26"/>
      <c r="BU207" s="26"/>
      <c r="BV207" s="26"/>
      <c r="BY207" s="26"/>
      <c r="CB207" s="26"/>
      <c r="CE207" s="26"/>
      <c r="CH207" s="26"/>
      <c r="CK207" s="26"/>
      <c r="CN207" s="26"/>
      <c r="CO207" s="26"/>
      <c r="CX207"/>
    </row>
    <row r="208" spans="2:102" x14ac:dyDescent="0.2">
      <c r="B208" s="26"/>
      <c r="C208" s="26"/>
      <c r="F208" s="74"/>
      <c r="G208" s="74"/>
      <c r="J208" s="74"/>
      <c r="K208" s="74"/>
      <c r="N208" s="74"/>
      <c r="O208" s="74"/>
      <c r="R208" s="74"/>
      <c r="S208" s="74"/>
      <c r="V208" s="74"/>
      <c r="W208" s="74"/>
      <c r="Z208" s="74"/>
      <c r="AC208" s="74"/>
      <c r="AD208" s="74"/>
      <c r="AG208" s="74"/>
      <c r="AH208" s="74"/>
      <c r="AK208" s="74"/>
      <c r="AL208" s="74"/>
      <c r="AO208" s="74"/>
      <c r="AP208" s="74"/>
      <c r="AS208" s="74"/>
      <c r="AT208" s="74"/>
      <c r="AW208" s="74"/>
      <c r="AX208" s="74"/>
      <c r="BA208" s="74"/>
      <c r="BB208" s="74"/>
      <c r="BE208" s="74"/>
      <c r="BF208" s="74"/>
      <c r="BI208" s="74"/>
      <c r="BJ208" s="74"/>
      <c r="BM208" s="26"/>
      <c r="BN208" s="26"/>
      <c r="BQ208" s="26"/>
      <c r="BR208" s="26"/>
      <c r="BU208" s="26"/>
      <c r="BV208" s="26"/>
      <c r="BY208" s="26"/>
      <c r="CB208" s="26"/>
      <c r="CE208" s="26"/>
      <c r="CH208" s="26"/>
      <c r="CK208" s="26"/>
      <c r="CN208" s="26"/>
      <c r="CO208" s="26"/>
      <c r="CX208"/>
    </row>
    <row r="209" spans="2:102" x14ac:dyDescent="0.2">
      <c r="B209" s="4"/>
      <c r="C209" s="4"/>
      <c r="F209" s="44"/>
      <c r="G209" s="44"/>
      <c r="J209" s="44"/>
      <c r="K209" s="44"/>
      <c r="N209" s="44"/>
      <c r="O209" s="44"/>
      <c r="R209" s="44"/>
      <c r="S209" s="44"/>
      <c r="V209" s="44"/>
      <c r="W209" s="44"/>
      <c r="Z209" s="44"/>
      <c r="AC209" s="44"/>
      <c r="AD209" s="44"/>
      <c r="AG209" s="44"/>
      <c r="AH209" s="44"/>
      <c r="AK209" s="44"/>
      <c r="AL209" s="44"/>
      <c r="AO209" s="44"/>
      <c r="AP209" s="44"/>
      <c r="AS209" s="44"/>
      <c r="AT209" s="44"/>
      <c r="AW209" s="44"/>
      <c r="AX209" s="44"/>
      <c r="BA209" s="44"/>
      <c r="BB209" s="44"/>
      <c r="BE209" s="44"/>
      <c r="BF209" s="44"/>
      <c r="BI209" s="44"/>
      <c r="BJ209" s="44"/>
      <c r="BM209" s="4"/>
      <c r="BN209" s="4"/>
      <c r="BQ209" s="4"/>
      <c r="BR209" s="4"/>
      <c r="BU209" s="4"/>
      <c r="BV209" s="4"/>
      <c r="BY209" s="4"/>
      <c r="CB209" s="4"/>
      <c r="CE209" s="4"/>
      <c r="CH209" s="4"/>
      <c r="CK209" s="4"/>
      <c r="CN209" s="4"/>
      <c r="CO209" s="4"/>
      <c r="CX209"/>
    </row>
    <row r="210" spans="2:102" x14ac:dyDescent="0.2">
      <c r="CX210"/>
    </row>
    <row r="211" spans="2:102" x14ac:dyDescent="0.2">
      <c r="CX211"/>
    </row>
    <row r="212" spans="2:102" x14ac:dyDescent="0.2">
      <c r="CX212"/>
    </row>
    <row r="213" spans="2:102" x14ac:dyDescent="0.2">
      <c r="CX213"/>
    </row>
    <row r="214" spans="2:102" x14ac:dyDescent="0.2">
      <c r="CX214"/>
    </row>
    <row r="215" spans="2:102" x14ac:dyDescent="0.2">
      <c r="CX215"/>
    </row>
    <row r="216" spans="2:102" x14ac:dyDescent="0.2">
      <c r="CX216"/>
    </row>
    <row r="217" spans="2:102" x14ac:dyDescent="0.2">
      <c r="CX217"/>
    </row>
    <row r="218" spans="2:102" x14ac:dyDescent="0.2">
      <c r="CX218"/>
    </row>
    <row r="219" spans="2:102" x14ac:dyDescent="0.2">
      <c r="CX219"/>
    </row>
  </sheetData>
  <mergeCells count="77">
    <mergeCell ref="BQ98:BS100"/>
    <mergeCell ref="BU98:BW100"/>
    <mergeCell ref="AS5:AU7"/>
    <mergeCell ref="B5:D7"/>
    <mergeCell ref="F5:H7"/>
    <mergeCell ref="Z5:AA7"/>
    <mergeCell ref="AC5:AE7"/>
    <mergeCell ref="J5:L7"/>
    <mergeCell ref="N5:P7"/>
    <mergeCell ref="B74:D76"/>
    <mergeCell ref="AG5:AI7"/>
    <mergeCell ref="R74:T76"/>
    <mergeCell ref="V74:X76"/>
    <mergeCell ref="Z74:AA76"/>
    <mergeCell ref="R5:T7"/>
    <mergeCell ref="V5:X7"/>
    <mergeCell ref="B98:D100"/>
    <mergeCell ref="J98:L100"/>
    <mergeCell ref="N98:P100"/>
    <mergeCell ref="F98:H100"/>
    <mergeCell ref="J74:L76"/>
    <mergeCell ref="N74:P76"/>
    <mergeCell ref="G74:H76"/>
    <mergeCell ref="R98:T100"/>
    <mergeCell ref="V98:X100"/>
    <mergeCell ref="Z98:AA100"/>
    <mergeCell ref="AC74:AE76"/>
    <mergeCell ref="AW5:AY7"/>
    <mergeCell ref="AW74:AY76"/>
    <mergeCell ref="AG98:AI100"/>
    <mergeCell ref="AK98:AM100"/>
    <mergeCell ref="AO98:AQ100"/>
    <mergeCell ref="AS98:AU100"/>
    <mergeCell ref="AG74:AI76"/>
    <mergeCell ref="AK74:AM76"/>
    <mergeCell ref="AO74:AQ76"/>
    <mergeCell ref="AS74:AU76"/>
    <mergeCell ref="AW98:AY100"/>
    <mergeCell ref="AK5:AM7"/>
    <mergeCell ref="BM74:BO76"/>
    <mergeCell ref="BE74:BG76"/>
    <mergeCell ref="BM98:BO100"/>
    <mergeCell ref="BA5:BC7"/>
    <mergeCell ref="AC98:AE100"/>
    <mergeCell ref="BI5:BK7"/>
    <mergeCell ref="BM5:BO7"/>
    <mergeCell ref="BI74:BK76"/>
    <mergeCell ref="BE5:BG7"/>
    <mergeCell ref="BE98:BG100"/>
    <mergeCell ref="BI98:BK100"/>
    <mergeCell ref="BA74:BC76"/>
    <mergeCell ref="BA98:BC100"/>
    <mergeCell ref="AO5:AQ7"/>
    <mergeCell ref="CH74:CI76"/>
    <mergeCell ref="CH98:CI100"/>
    <mergeCell ref="CB98:CC100"/>
    <mergeCell ref="BQ74:BS76"/>
    <mergeCell ref="BQ5:BS7"/>
    <mergeCell ref="BY74:BZ76"/>
    <mergeCell ref="BY98:BZ100"/>
    <mergeCell ref="BY5:BZ7"/>
    <mergeCell ref="CH5:CI7"/>
    <mergeCell ref="CE5:CF7"/>
    <mergeCell ref="CE74:CF76"/>
    <mergeCell ref="CE98:CF100"/>
    <mergeCell ref="CB5:CC7"/>
    <mergeCell ref="CB74:CC76"/>
    <mergeCell ref="BU5:BW7"/>
    <mergeCell ref="BU74:BW76"/>
    <mergeCell ref="CK5:CL7"/>
    <mergeCell ref="CK74:CL76"/>
    <mergeCell ref="CK98:CL100"/>
    <mergeCell ref="CU5:CV7"/>
    <mergeCell ref="CN5:CP7"/>
    <mergeCell ref="CN74:CP76"/>
    <mergeCell ref="CN98:CP100"/>
    <mergeCell ref="CR5:CS7"/>
  </mergeCells>
  <phoneticPr fontId="13" type="noConversion"/>
  <printOptions horizontalCentered="1" gridLines="1"/>
  <pageMargins left="0.15748031496062992" right="0.15748031496062992" top="0.39370078740157483" bottom="0.19685039370078741" header="0" footer="0"/>
  <pageSetup paperSize="9" scale="57" fitToWidth="4" orientation="landscape" horizontalDpi="4294967293" r:id="rId1"/>
  <headerFooter alignWithMargins="0"/>
  <colBreaks count="3" manualBreakCount="3">
    <brk id="24" max="71" man="1"/>
    <brk id="52" max="71" man="1"/>
    <brk id="72" max="71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5"/>
  <sheetViews>
    <sheetView topLeftCell="A7" workbookViewId="0">
      <selection activeCell="F8" sqref="F8"/>
    </sheetView>
  </sheetViews>
  <sheetFormatPr defaultRowHeight="12.75" x14ac:dyDescent="0.2"/>
  <cols>
    <col min="1" max="1" width="32.140625" customWidth="1"/>
    <col min="2" max="2" width="20.28515625" style="117" customWidth="1"/>
    <col min="3" max="3" width="14.28515625" customWidth="1"/>
  </cols>
  <sheetData>
    <row r="1" spans="1:3" s="115" customFormat="1" ht="20.100000000000001" customHeight="1" x14ac:dyDescent="0.25">
      <c r="A1" s="191" t="s">
        <v>219</v>
      </c>
      <c r="B1" s="192"/>
      <c r="C1" s="193"/>
    </row>
    <row r="2" spans="1:3" s="115" customFormat="1" ht="20.100000000000001" customHeight="1" x14ac:dyDescent="0.25">
      <c r="A2" s="194" t="str">
        <f>Monthly!A4</f>
        <v xml:space="preserve"> 30th April  2021</v>
      </c>
      <c r="B2" s="195"/>
      <c r="C2" s="196"/>
    </row>
    <row r="3" spans="1:3" s="115" customFormat="1" ht="20.100000000000001" customHeight="1" x14ac:dyDescent="0.25">
      <c r="A3" s="194" t="s">
        <v>197</v>
      </c>
      <c r="B3" s="195"/>
      <c r="C3" s="196"/>
    </row>
    <row r="4" spans="1:3" s="115" customFormat="1" ht="20.100000000000001" customHeight="1" x14ac:dyDescent="0.25">
      <c r="A4" s="187"/>
      <c r="B4" s="175"/>
      <c r="C4" s="188"/>
    </row>
    <row r="5" spans="1:3" s="115" customFormat="1" ht="20.100000000000001" customHeight="1" x14ac:dyDescent="0.25">
      <c r="A5" s="187"/>
      <c r="B5" s="175"/>
      <c r="C5" s="188"/>
    </row>
    <row r="6" spans="1:3" s="115" customFormat="1" ht="20.100000000000001" customHeight="1" x14ac:dyDescent="0.25">
      <c r="A6" s="310" t="s">
        <v>195</v>
      </c>
      <c r="B6" s="197" t="s">
        <v>198</v>
      </c>
      <c r="C6" s="198" t="s">
        <v>70</v>
      </c>
    </row>
    <row r="7" spans="1:3" ht="20.100000000000001" customHeight="1" x14ac:dyDescent="0.2">
      <c r="A7" s="189"/>
      <c r="B7" s="172"/>
      <c r="C7" s="190"/>
    </row>
    <row r="8" spans="1:3" ht="20.100000000000001" customHeight="1" x14ac:dyDescent="0.2">
      <c r="A8" s="305" t="str">
        <f>Monthly!A8</f>
        <v>Kennisha Williams</v>
      </c>
      <c r="B8" s="306"/>
      <c r="C8" s="307">
        <f>Monthly!L8</f>
        <v>0</v>
      </c>
    </row>
    <row r="9" spans="1:3" ht="20.100000000000001" customHeight="1" x14ac:dyDescent="0.2">
      <c r="A9" s="305" t="str">
        <f>Monthly!A9</f>
        <v>Alston Prince</v>
      </c>
      <c r="B9" s="306"/>
      <c r="C9" s="307">
        <f>Monthly!L9</f>
        <v>0</v>
      </c>
    </row>
    <row r="10" spans="1:3" ht="20.100000000000001" customHeight="1" x14ac:dyDescent="0.2">
      <c r="A10" s="305" t="str">
        <f>Monthly!A10</f>
        <v>Carl Smith</v>
      </c>
      <c r="B10" s="306"/>
      <c r="C10" s="307">
        <f>Monthly!L10</f>
        <v>0</v>
      </c>
    </row>
    <row r="11" spans="1:3" ht="20.100000000000001" customHeight="1" x14ac:dyDescent="0.2">
      <c r="A11" s="308" t="str">
        <f>Monthly!A11</f>
        <v>Dexter Lett</v>
      </c>
      <c r="B11" s="306"/>
      <c r="C11" s="307">
        <f>Monthly!L11</f>
        <v>0</v>
      </c>
    </row>
    <row r="12" spans="1:3" ht="20.100000000000001" customHeight="1" x14ac:dyDescent="0.2">
      <c r="A12" s="308" t="str">
        <f>Monthly!A12</f>
        <v>Kenson Baptiste</v>
      </c>
      <c r="B12" s="306"/>
      <c r="C12" s="307">
        <f>Monthly!L12</f>
        <v>0</v>
      </c>
    </row>
    <row r="13" spans="1:3" ht="20.100000000000001" customHeight="1" x14ac:dyDescent="0.2">
      <c r="A13" s="308" t="str">
        <f>Monthly!A13</f>
        <v>Peter Alexis</v>
      </c>
      <c r="B13" s="306"/>
      <c r="C13" s="307">
        <f>Monthly!L13</f>
        <v>0</v>
      </c>
    </row>
    <row r="14" spans="1:3" ht="20.100000000000001" customHeight="1" x14ac:dyDescent="0.2">
      <c r="A14" s="308" t="str">
        <f>Monthly!A14</f>
        <v>Glenderine DeRiggs</v>
      </c>
      <c r="B14" s="306"/>
      <c r="C14" s="307">
        <f>Monthly!L14</f>
        <v>0</v>
      </c>
    </row>
    <row r="15" spans="1:3" ht="20.100000000000001" customHeight="1" x14ac:dyDescent="0.2">
      <c r="A15" s="308" t="str">
        <f>Monthly!A15</f>
        <v>Veronica Alexander</v>
      </c>
      <c r="B15" s="306"/>
      <c r="C15" s="309">
        <f>Monthly!L15</f>
        <v>0</v>
      </c>
    </row>
    <row r="16" spans="1:3" ht="20.100000000000001" customHeight="1" x14ac:dyDescent="0.2">
      <c r="A16" s="308" t="str">
        <f>Monthly!A19</f>
        <v>Norris Joseph</v>
      </c>
      <c r="B16" s="306"/>
      <c r="C16" s="307">
        <f>Monthly!L19</f>
        <v>0</v>
      </c>
    </row>
    <row r="17" spans="1:3" ht="20.100000000000001" customHeight="1" x14ac:dyDescent="0.2">
      <c r="A17" s="308" t="str">
        <f>Monthly!A20</f>
        <v>Gerald Jones</v>
      </c>
      <c r="B17" s="306"/>
      <c r="C17" s="307">
        <f>Monthly!L20</f>
        <v>0</v>
      </c>
    </row>
    <row r="18" spans="1:3" ht="20.100000000000001" customHeight="1" x14ac:dyDescent="0.2">
      <c r="A18" s="308" t="str">
        <f>Monthly!A23</f>
        <v>Oscar Elcock</v>
      </c>
      <c r="B18" s="306"/>
      <c r="C18" s="307">
        <f>Monthly!L23</f>
        <v>0</v>
      </c>
    </row>
    <row r="19" spans="1:3" ht="20.100000000000001" customHeight="1" x14ac:dyDescent="0.2">
      <c r="A19" s="308" t="str">
        <f>Monthly!A24</f>
        <v>Andris Toussaint</v>
      </c>
      <c r="B19" s="306"/>
      <c r="C19" s="307">
        <f>Monthly!L24</f>
        <v>0</v>
      </c>
    </row>
    <row r="20" spans="1:3" ht="20.100000000000001" customHeight="1" x14ac:dyDescent="0.2">
      <c r="A20" s="308" t="str">
        <f>Monthly!A25</f>
        <v>Merril Modoo</v>
      </c>
      <c r="B20" s="306"/>
      <c r="C20" s="307">
        <f>Monthly!L25</f>
        <v>0</v>
      </c>
    </row>
    <row r="21" spans="1:3" ht="20.100000000000001" customHeight="1" x14ac:dyDescent="0.2">
      <c r="A21" s="308" t="str">
        <f>Monthly!A26</f>
        <v>Onika Phillip</v>
      </c>
      <c r="B21" s="306"/>
      <c r="C21" s="307">
        <f>Monthly!L26</f>
        <v>0</v>
      </c>
    </row>
    <row r="22" spans="1:3" ht="20.100000000000001" customHeight="1" x14ac:dyDescent="0.2">
      <c r="A22" s="189"/>
      <c r="B22" s="172"/>
      <c r="C22" s="190"/>
    </row>
    <row r="23" spans="1:3" ht="20.100000000000001" customHeight="1" thickBot="1" x14ac:dyDescent="0.25">
      <c r="A23" s="189"/>
      <c r="B23" s="172"/>
      <c r="C23" s="190"/>
    </row>
    <row r="24" spans="1:3" ht="20.100000000000001" customHeight="1" thickBot="1" x14ac:dyDescent="0.25">
      <c r="A24" s="282"/>
      <c r="B24" s="283"/>
      <c r="C24" s="284">
        <f>SUM(C8:C21)</f>
        <v>0</v>
      </c>
    </row>
    <row r="25" spans="1:3" ht="13.5" thickTop="1" x14ac:dyDescent="0.2">
      <c r="A25" s="285"/>
      <c r="B25" s="172"/>
      <c r="C25" s="285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Views>
    <sheetView workbookViewId="0">
      <pane xSplit="2" ySplit="5" topLeftCell="C27" activePane="bottomRight" state="frozen"/>
      <selection pane="topRight" activeCell="C1" sqref="C1"/>
      <selection pane="bottomLeft" activeCell="A6" sqref="A6"/>
      <selection pane="bottomRight" activeCell="D7" sqref="D7"/>
    </sheetView>
  </sheetViews>
  <sheetFormatPr defaultColWidth="9.140625" defaultRowHeight="12.75" x14ac:dyDescent="0.2"/>
  <cols>
    <col min="1" max="1" width="21.7109375" style="43" bestFit="1" customWidth="1"/>
    <col min="2" max="2" width="11.28515625" style="117" bestFit="1" customWidth="1"/>
    <col min="3" max="3" width="16.7109375" style="43" bestFit="1" customWidth="1"/>
    <col min="4" max="4" width="17.28515625" style="43" bestFit="1" customWidth="1"/>
    <col min="5" max="5" width="12.85546875" style="43" customWidth="1"/>
    <col min="6" max="16384" width="9.140625" style="43"/>
  </cols>
  <sheetData>
    <row r="1" spans="1:11" ht="20.100000000000001" customHeight="1" x14ac:dyDescent="0.2">
      <c r="A1" s="179" t="s">
        <v>246</v>
      </c>
      <c r="B1" s="165"/>
      <c r="C1" s="166"/>
      <c r="D1" s="166"/>
      <c r="E1" s="167"/>
    </row>
    <row r="2" spans="1:11" ht="20.100000000000001" customHeight="1" x14ac:dyDescent="0.2">
      <c r="A2" s="180" t="str">
        <f>Monthly!A4</f>
        <v xml:space="preserve"> 30th April  2021</v>
      </c>
      <c r="B2" s="168"/>
      <c r="C2" s="169"/>
      <c r="D2" s="169"/>
      <c r="E2" s="170"/>
    </row>
    <row r="3" spans="1:11" ht="20.100000000000001" customHeight="1" x14ac:dyDescent="0.2">
      <c r="A3" s="180" t="s">
        <v>194</v>
      </c>
      <c r="B3" s="168"/>
      <c r="C3" s="169"/>
      <c r="D3" s="169"/>
      <c r="E3" s="170"/>
    </row>
    <row r="4" spans="1:11" ht="20.100000000000001" customHeight="1" x14ac:dyDescent="0.35">
      <c r="A4" s="171"/>
      <c r="B4" s="172"/>
      <c r="C4" s="185" t="s">
        <v>208</v>
      </c>
      <c r="D4" s="185" t="s">
        <v>210</v>
      </c>
      <c r="E4" s="186"/>
    </row>
    <row r="5" spans="1:11" s="116" customFormat="1" ht="20.100000000000001" customHeight="1" x14ac:dyDescent="0.25">
      <c r="A5" s="174" t="s">
        <v>195</v>
      </c>
      <c r="B5" s="175" t="s">
        <v>196</v>
      </c>
      <c r="C5" s="183" t="s">
        <v>209</v>
      </c>
      <c r="D5" s="183" t="s">
        <v>209</v>
      </c>
      <c r="E5" s="184" t="s">
        <v>12</v>
      </c>
    </row>
    <row r="6" spans="1:11" ht="20.100000000000001" customHeight="1" x14ac:dyDescent="0.2">
      <c r="A6" s="258" t="str">
        <f>Monthly!A7</f>
        <v>PRODUCTION</v>
      </c>
      <c r="B6" s="172"/>
      <c r="C6" s="181"/>
      <c r="D6" s="181"/>
      <c r="E6" s="173"/>
    </row>
    <row r="7" spans="1:11" ht="20.100000000000001" customHeight="1" x14ac:dyDescent="0.2">
      <c r="A7" s="259" t="str">
        <f>Monthly!A8</f>
        <v>Kennisha Williams</v>
      </c>
      <c r="B7" s="172"/>
      <c r="C7" s="181">
        <f>Monthly!K8*6%</f>
        <v>150</v>
      </c>
      <c r="D7" s="181">
        <f>Monthly!M8</f>
        <v>125</v>
      </c>
      <c r="E7" s="173">
        <f t="shared" ref="E7:E26" si="0">C7+D7</f>
        <v>275</v>
      </c>
    </row>
    <row r="8" spans="1:11" ht="20.100000000000001" customHeight="1" x14ac:dyDescent="0.2">
      <c r="A8" s="259" t="str">
        <f>Monthly!A9</f>
        <v>Alston Prince</v>
      </c>
      <c r="B8" s="172"/>
      <c r="C8" s="181">
        <f>Monthly!K9*6%</f>
        <v>108.9264</v>
      </c>
      <c r="D8" s="181">
        <f>Monthly!M9</f>
        <v>90.77</v>
      </c>
      <c r="E8" s="173">
        <f t="shared" si="0"/>
        <v>199.69639999999998</v>
      </c>
    </row>
    <row r="9" spans="1:11" ht="20.100000000000001" customHeight="1" x14ac:dyDescent="0.2">
      <c r="A9" s="259" t="str">
        <f>Monthly!A10</f>
        <v>Carl Smith</v>
      </c>
      <c r="B9" s="172"/>
      <c r="C9" s="181">
        <f>Monthly!K10*6%</f>
        <v>95.471999999999994</v>
      </c>
      <c r="D9" s="181">
        <f>Monthly!M10</f>
        <v>79.56</v>
      </c>
      <c r="E9" s="173">
        <f t="shared" si="0"/>
        <v>175.03199999999998</v>
      </c>
    </row>
    <row r="10" spans="1:11" ht="20.100000000000001" customHeight="1" x14ac:dyDescent="0.2">
      <c r="A10" s="260" t="str">
        <f>Monthly!A11</f>
        <v>Dexter Lett</v>
      </c>
      <c r="B10" s="172"/>
      <c r="C10" s="181">
        <f>Monthly!K11*6%</f>
        <v>72</v>
      </c>
      <c r="D10" s="181">
        <f>Monthly!M11</f>
        <v>60</v>
      </c>
      <c r="E10" s="173">
        <f t="shared" si="0"/>
        <v>132</v>
      </c>
    </row>
    <row r="11" spans="1:11" ht="20.100000000000001" customHeight="1" x14ac:dyDescent="0.2">
      <c r="A11" s="260" t="str">
        <f>Monthly!A12</f>
        <v>Kenson Baptiste</v>
      </c>
      <c r="B11" s="172"/>
      <c r="C11" s="181">
        <f>Monthly!K12*6%</f>
        <v>60</v>
      </c>
      <c r="D11" s="181">
        <f>Monthly!M12</f>
        <v>50</v>
      </c>
      <c r="E11" s="173">
        <f t="shared" si="0"/>
        <v>110</v>
      </c>
    </row>
    <row r="12" spans="1:11" ht="20.100000000000001" customHeight="1" x14ac:dyDescent="0.2">
      <c r="A12" s="260" t="str">
        <f>Monthly!A13</f>
        <v>Peter Alexis</v>
      </c>
      <c r="B12" s="172"/>
      <c r="C12" s="181">
        <f>Monthly!K13*6%</f>
        <v>56.065199999999997</v>
      </c>
      <c r="D12" s="181">
        <f>Monthly!M13</f>
        <v>46.72</v>
      </c>
      <c r="E12" s="173">
        <f t="shared" si="0"/>
        <v>102.7852</v>
      </c>
    </row>
    <row r="13" spans="1:11" ht="20.100000000000001" customHeight="1" x14ac:dyDescent="0.2">
      <c r="A13" s="260" t="str">
        <f>Monthly!A14</f>
        <v>Glenderine DeRiggs</v>
      </c>
      <c r="B13" s="172"/>
      <c r="C13" s="181">
        <f>Monthly!K14*6%</f>
        <v>48</v>
      </c>
      <c r="D13" s="181">
        <f>Monthly!M14</f>
        <v>40</v>
      </c>
      <c r="E13" s="173">
        <f t="shared" si="0"/>
        <v>88</v>
      </c>
    </row>
    <row r="14" spans="1:11" ht="20.100000000000001" customHeight="1" x14ac:dyDescent="0.2">
      <c r="A14" s="260" t="str">
        <f>Monthly!A15</f>
        <v>Veronica Alexander</v>
      </c>
      <c r="B14" s="172"/>
      <c r="C14" s="181">
        <f>Monthly!K15*6%</f>
        <v>0</v>
      </c>
      <c r="D14" s="181">
        <f>Monthly!M15</f>
        <v>0</v>
      </c>
      <c r="E14" s="173">
        <f t="shared" si="0"/>
        <v>0</v>
      </c>
    </row>
    <row r="15" spans="1:11" ht="20.100000000000001" customHeight="1" x14ac:dyDescent="0.2">
      <c r="A15" s="177"/>
      <c r="B15" s="164"/>
      <c r="C15" s="182">
        <f>SUM(C7:C14)</f>
        <v>590.46359999999993</v>
      </c>
      <c r="D15" s="182">
        <f t="shared" ref="D15:E15" si="1">SUM(D7:D14)</f>
        <v>492.04999999999995</v>
      </c>
      <c r="E15" s="182">
        <f t="shared" si="1"/>
        <v>1082.5136</v>
      </c>
      <c r="K15" s="265"/>
    </row>
    <row r="16" spans="1:11" ht="20.100000000000001" customHeight="1" x14ac:dyDescent="0.2">
      <c r="A16" s="257" t="s">
        <v>238</v>
      </c>
      <c r="B16" s="172"/>
      <c r="C16" s="181"/>
      <c r="D16" s="181"/>
      <c r="E16" s="173"/>
      <c r="K16" s="265"/>
    </row>
    <row r="17" spans="1:5" ht="20.100000000000001" customHeight="1" x14ac:dyDescent="0.2">
      <c r="A17" s="176"/>
      <c r="B17" s="172"/>
      <c r="C17" s="181"/>
      <c r="D17" s="181"/>
      <c r="E17" s="173"/>
    </row>
    <row r="18" spans="1:5" ht="20.100000000000001" customHeight="1" x14ac:dyDescent="0.2">
      <c r="A18" s="176" t="str">
        <f>Monthly!A19</f>
        <v>Norris Joseph</v>
      </c>
      <c r="B18" s="172"/>
      <c r="C18" s="181">
        <f>Monthly!K19*6%</f>
        <v>90</v>
      </c>
      <c r="D18" s="181">
        <f>Monthly!M19</f>
        <v>75</v>
      </c>
      <c r="E18" s="173">
        <f t="shared" si="0"/>
        <v>165</v>
      </c>
    </row>
    <row r="19" spans="1:5" ht="20.100000000000001" customHeight="1" x14ac:dyDescent="0.2">
      <c r="A19" s="176" t="str">
        <f>Monthly!A20</f>
        <v>Gerald Jones</v>
      </c>
      <c r="B19" s="172"/>
      <c r="C19" s="181">
        <f>Monthly!K20*6%</f>
        <v>87</v>
      </c>
      <c r="D19" s="181">
        <f>Monthly!M20</f>
        <v>72.5</v>
      </c>
      <c r="E19" s="173">
        <f t="shared" si="0"/>
        <v>159.5</v>
      </c>
    </row>
    <row r="20" spans="1:5" ht="20.100000000000001" customHeight="1" x14ac:dyDescent="0.2">
      <c r="A20" s="261"/>
      <c r="B20" s="262"/>
      <c r="C20" s="263">
        <f>SUM(C18:C19)</f>
        <v>177</v>
      </c>
      <c r="D20" s="263">
        <f>SUM(D18:D19)</f>
        <v>147.5</v>
      </c>
      <c r="E20" s="264">
        <f>SUM(E18:E19)</f>
        <v>324.5</v>
      </c>
    </row>
    <row r="21" spans="1:5" ht="20.100000000000001" customHeight="1" x14ac:dyDescent="0.2">
      <c r="A21" s="176"/>
      <c r="B21" s="172"/>
      <c r="C21" s="181"/>
      <c r="D21" s="181"/>
      <c r="E21" s="173"/>
    </row>
    <row r="22" spans="1:5" ht="20.100000000000001" customHeight="1" x14ac:dyDescent="0.2">
      <c r="A22" s="258" t="s">
        <v>239</v>
      </c>
      <c r="B22" s="172"/>
      <c r="C22" s="181"/>
      <c r="D22" s="181"/>
      <c r="E22" s="173"/>
    </row>
    <row r="23" spans="1:5" ht="20.100000000000001" customHeight="1" x14ac:dyDescent="0.2">
      <c r="A23" s="176" t="str">
        <f>Monthly!A23</f>
        <v>Oscar Elcock</v>
      </c>
      <c r="B23" s="172"/>
      <c r="C23" s="181">
        <f>Monthly!K23*6%</f>
        <v>95.471999999999994</v>
      </c>
      <c r="D23" s="181">
        <f>Monthly!M23</f>
        <v>79.56</v>
      </c>
      <c r="E23" s="173">
        <f t="shared" si="0"/>
        <v>175.03199999999998</v>
      </c>
    </row>
    <row r="24" spans="1:5" ht="20.100000000000001" customHeight="1" x14ac:dyDescent="0.2">
      <c r="A24" s="176" t="str">
        <f>Monthly!A24</f>
        <v>Andris Toussaint</v>
      </c>
      <c r="B24" s="172"/>
      <c r="C24" s="181">
        <f>Monthly!K24*6%</f>
        <v>73.44</v>
      </c>
      <c r="D24" s="181">
        <f>Monthly!M24</f>
        <v>61.2</v>
      </c>
      <c r="E24" s="173">
        <f t="shared" si="0"/>
        <v>134.63999999999999</v>
      </c>
    </row>
    <row r="25" spans="1:5" ht="20.100000000000001" customHeight="1" x14ac:dyDescent="0.2">
      <c r="A25" s="176" t="str">
        <f>Monthly!A25</f>
        <v>Merril Modoo</v>
      </c>
      <c r="B25" s="172"/>
      <c r="C25" s="181">
        <f>Monthly!K25*6%</f>
        <v>91.843800000000002</v>
      </c>
      <c r="D25" s="181">
        <f>Monthly!M25</f>
        <v>76.540000000000006</v>
      </c>
      <c r="E25" s="173">
        <f t="shared" si="0"/>
        <v>168.38380000000001</v>
      </c>
    </row>
    <row r="26" spans="1:5" ht="20.100000000000001" customHeight="1" x14ac:dyDescent="0.2">
      <c r="A26" s="176" t="str">
        <f>Monthly!A26</f>
        <v>Onika Phillip</v>
      </c>
      <c r="B26" s="172"/>
      <c r="C26" s="181">
        <f>Monthly!K26*6%</f>
        <v>60</v>
      </c>
      <c r="D26" s="181">
        <f>Monthly!M26</f>
        <v>50</v>
      </c>
      <c r="E26" s="173">
        <f t="shared" si="0"/>
        <v>110</v>
      </c>
    </row>
    <row r="27" spans="1:5" ht="20.100000000000001" customHeight="1" x14ac:dyDescent="0.2">
      <c r="A27" s="312"/>
      <c r="B27" s="262"/>
      <c r="C27" s="313">
        <f>SUM(C23:C26)</f>
        <v>320.75579999999997</v>
      </c>
      <c r="D27" s="313">
        <f>SUM(D23:D26)</f>
        <v>267.3</v>
      </c>
      <c r="E27" s="314">
        <f>SUM(E23:E26)</f>
        <v>588.05579999999998</v>
      </c>
    </row>
    <row r="28" spans="1:5" ht="20.100000000000001" customHeight="1" x14ac:dyDescent="0.2">
      <c r="A28" s="176"/>
      <c r="B28" s="172"/>
      <c r="C28" s="181"/>
      <c r="D28" s="181"/>
      <c r="E28" s="173"/>
    </row>
    <row r="29" spans="1:5" ht="20.100000000000001" customHeight="1" x14ac:dyDescent="0.2">
      <c r="A29" s="176"/>
      <c r="B29" s="172"/>
      <c r="C29" s="181"/>
      <c r="D29" s="181"/>
      <c r="E29" s="173"/>
    </row>
    <row r="30" spans="1:5" ht="20.100000000000001" customHeight="1" thickBot="1" x14ac:dyDescent="0.25">
      <c r="A30" s="176"/>
      <c r="B30" s="172"/>
      <c r="C30" s="181"/>
      <c r="D30" s="181"/>
      <c r="E30" s="173"/>
    </row>
    <row r="31" spans="1:5" s="265" customFormat="1" ht="20.100000000000001" customHeight="1" thickBot="1" x14ac:dyDescent="0.25">
      <c r="A31" s="275" t="s">
        <v>248</v>
      </c>
      <c r="B31" s="276"/>
      <c r="C31" s="275">
        <f>SUM(C15,C20,C27)</f>
        <v>1088.2194</v>
      </c>
      <c r="D31" s="277">
        <f t="shared" ref="D31:E31" si="2">SUM(D15,D20,D27)</f>
        <v>906.84999999999991</v>
      </c>
      <c r="E31" s="278">
        <f t="shared" si="2"/>
        <v>1995.0693999999999</v>
      </c>
    </row>
    <row r="32" spans="1:5" s="265" customFormat="1" ht="13.5" thickTop="1" x14ac:dyDescent="0.2">
      <c r="B32" s="172"/>
    </row>
    <row r="33" spans="1:5" s="265" customFormat="1" x14ac:dyDescent="0.2">
      <c r="B33" s="172"/>
    </row>
    <row r="34" spans="1:5" s="265" customFormat="1" x14ac:dyDescent="0.2">
      <c r="A34" s="266"/>
      <c r="B34" s="267"/>
      <c r="C34" s="266"/>
      <c r="D34" s="266"/>
      <c r="E34" s="266"/>
    </row>
    <row r="35" spans="1:5" s="265" customFormat="1" x14ac:dyDescent="0.2">
      <c r="B35" s="172"/>
    </row>
    <row r="36" spans="1:5" s="265" customFormat="1" x14ac:dyDescent="0.2">
      <c r="A36" s="268"/>
      <c r="B36" s="269"/>
      <c r="C36" s="268"/>
      <c r="D36" s="268"/>
      <c r="E36" s="268"/>
    </row>
    <row r="37" spans="1:5" s="265" customFormat="1" x14ac:dyDescent="0.2">
      <c r="B37" s="172"/>
    </row>
    <row r="38" spans="1:5" s="265" customFormat="1" x14ac:dyDescent="0.2">
      <c r="A38" s="266"/>
      <c r="B38" s="267"/>
      <c r="C38" s="266"/>
      <c r="D38" s="266"/>
      <c r="E38" s="266"/>
    </row>
    <row r="39" spans="1:5" s="265" customFormat="1" x14ac:dyDescent="0.2">
      <c r="B39" s="172"/>
    </row>
    <row r="40" spans="1:5" s="265" customFormat="1" x14ac:dyDescent="0.2">
      <c r="A40" s="266"/>
      <c r="B40" s="267"/>
      <c r="C40" s="266"/>
      <c r="D40" s="266"/>
      <c r="E40" s="266"/>
    </row>
    <row r="41" spans="1:5" s="265" customFormat="1" ht="17.25" customHeight="1" x14ac:dyDescent="0.2">
      <c r="B41" s="172"/>
    </row>
    <row r="42" spans="1:5" s="271" customFormat="1" ht="15" x14ac:dyDescent="0.35">
      <c r="A42" s="270"/>
      <c r="B42" s="178"/>
    </row>
    <row r="43" spans="1:5" s="271" customFormat="1" x14ac:dyDescent="0.2">
      <c r="A43" s="272"/>
      <c r="B43" s="178"/>
      <c r="E43" s="265"/>
    </row>
    <row r="44" spans="1:5" s="265" customFormat="1" x14ac:dyDescent="0.2">
      <c r="A44" s="272"/>
      <c r="B44" s="172"/>
    </row>
    <row r="45" spans="1:5" s="265" customFormat="1" x14ac:dyDescent="0.2">
      <c r="A45" s="272"/>
      <c r="B45" s="172"/>
    </row>
    <row r="46" spans="1:5" s="265" customFormat="1" x14ac:dyDescent="0.2">
      <c r="A46" s="272"/>
      <c r="B46" s="172"/>
    </row>
    <row r="47" spans="1:5" s="265" customFormat="1" x14ac:dyDescent="0.2">
      <c r="B47" s="172"/>
    </row>
    <row r="48" spans="1:5" s="265" customFormat="1" x14ac:dyDescent="0.2">
      <c r="B48" s="172"/>
    </row>
    <row r="49" spans="1:5" s="265" customFormat="1" ht="15" x14ac:dyDescent="0.35">
      <c r="A49" s="270"/>
      <c r="B49" s="172"/>
    </row>
    <row r="50" spans="1:5" s="265" customFormat="1" x14ac:dyDescent="0.2">
      <c r="B50" s="172"/>
    </row>
    <row r="51" spans="1:5" s="265" customFormat="1" x14ac:dyDescent="0.2">
      <c r="B51" s="172"/>
    </row>
    <row r="52" spans="1:5" s="265" customFormat="1" x14ac:dyDescent="0.2">
      <c r="B52" s="172"/>
    </row>
    <row r="53" spans="1:5" s="265" customFormat="1" x14ac:dyDescent="0.2">
      <c r="A53" s="273"/>
      <c r="B53" s="274"/>
      <c r="C53" s="273"/>
      <c r="D53" s="273"/>
      <c r="E53" s="273"/>
    </row>
    <row r="54" spans="1:5" s="265" customFormat="1" x14ac:dyDescent="0.2">
      <c r="B54" s="172"/>
    </row>
    <row r="55" spans="1:5" s="265" customFormat="1" ht="15" x14ac:dyDescent="0.35">
      <c r="A55" s="270"/>
      <c r="B55" s="172"/>
    </row>
    <row r="56" spans="1:5" s="265" customFormat="1" x14ac:dyDescent="0.2">
      <c r="B56" s="172"/>
    </row>
    <row r="57" spans="1:5" s="265" customFormat="1" x14ac:dyDescent="0.2">
      <c r="B57" s="172"/>
    </row>
    <row r="58" spans="1:5" s="265" customFormat="1" x14ac:dyDescent="0.2">
      <c r="B58" s="172"/>
    </row>
    <row r="59" spans="1:5" s="265" customFormat="1" x14ac:dyDescent="0.2">
      <c r="B59" s="172"/>
    </row>
    <row r="60" spans="1:5" s="265" customFormat="1" x14ac:dyDescent="0.2">
      <c r="B60" s="172"/>
    </row>
    <row r="61" spans="1:5" s="265" customFormat="1" x14ac:dyDescent="0.2">
      <c r="A61" s="206"/>
      <c r="B61" s="172"/>
      <c r="C61" s="79"/>
    </row>
    <row r="62" spans="1:5" s="265" customFormat="1" x14ac:dyDescent="0.2">
      <c r="A62" s="206"/>
      <c r="B62" s="172"/>
      <c r="C62" s="79"/>
    </row>
    <row r="63" spans="1:5" s="265" customFormat="1" x14ac:dyDescent="0.2">
      <c r="A63" s="206"/>
      <c r="B63" s="172"/>
      <c r="C63" s="79"/>
    </row>
    <row r="64" spans="1:5" s="265" customFormat="1" x14ac:dyDescent="0.2"/>
    <row r="65" spans="2:2" s="265" customFormat="1" x14ac:dyDescent="0.2">
      <c r="B65" s="172"/>
    </row>
    <row r="66" spans="2:2" s="265" customFormat="1" x14ac:dyDescent="0.2">
      <c r="B66" s="172"/>
    </row>
    <row r="67" spans="2:2" s="265" customFormat="1" x14ac:dyDescent="0.2">
      <c r="B67" s="172"/>
    </row>
    <row r="68" spans="2:2" s="265" customFormat="1" x14ac:dyDescent="0.2">
      <c r="B68" s="172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00"/>
  <sheetViews>
    <sheetView topLeftCell="A27" zoomScale="115" zoomScaleNormal="115" workbookViewId="0">
      <selection activeCell="D41" sqref="D41"/>
    </sheetView>
  </sheetViews>
  <sheetFormatPr defaultColWidth="45" defaultRowHeight="12.75" x14ac:dyDescent="0.2"/>
  <cols>
    <col min="1" max="1" width="50.5703125" customWidth="1"/>
    <col min="2" max="2" width="33.140625" customWidth="1"/>
    <col min="3" max="3" width="13.7109375" customWidth="1"/>
    <col min="4" max="4" width="14" customWidth="1"/>
    <col min="5" max="5" width="11.85546875" customWidth="1"/>
  </cols>
  <sheetData>
    <row r="1" spans="1:7" ht="15" x14ac:dyDescent="0.2">
      <c r="A1" s="118" t="s">
        <v>219</v>
      </c>
      <c r="B1" s="119"/>
      <c r="C1" s="120"/>
      <c r="D1" s="121"/>
      <c r="E1" s="122"/>
      <c r="F1" s="123"/>
      <c r="G1" s="123"/>
    </row>
    <row r="2" spans="1:7" ht="15" x14ac:dyDescent="0.2">
      <c r="A2" s="118" t="s">
        <v>200</v>
      </c>
      <c r="B2" s="119"/>
      <c r="C2" s="120"/>
      <c r="D2" s="121"/>
      <c r="E2" s="122"/>
      <c r="F2" s="123"/>
      <c r="G2" s="123"/>
    </row>
    <row r="3" spans="1:7" ht="15.75" x14ac:dyDescent="0.3">
      <c r="A3" s="124"/>
      <c r="B3" s="125"/>
      <c r="C3" s="126"/>
      <c r="D3" s="127"/>
      <c r="E3" s="123"/>
      <c r="F3" s="123"/>
      <c r="G3" s="123"/>
    </row>
    <row r="4" spans="1:7" ht="16.5" x14ac:dyDescent="0.3">
      <c r="A4" s="128" t="s">
        <v>201</v>
      </c>
      <c r="B4" s="125"/>
      <c r="C4" s="129"/>
      <c r="D4" s="130" t="str">
        <f>Monthly!A4</f>
        <v xml:space="preserve"> 30th April  2021</v>
      </c>
      <c r="E4" s="123"/>
      <c r="F4" s="123"/>
      <c r="G4" s="123"/>
    </row>
    <row r="5" spans="1:7" ht="15" x14ac:dyDescent="0.2">
      <c r="A5" s="131" t="s">
        <v>202</v>
      </c>
      <c r="B5" s="132" t="s">
        <v>203</v>
      </c>
      <c r="C5" s="133" t="s">
        <v>204</v>
      </c>
      <c r="D5" s="134" t="s">
        <v>205</v>
      </c>
      <c r="E5" s="123"/>
      <c r="F5" s="123"/>
      <c r="G5" s="123"/>
    </row>
    <row r="6" spans="1:7" ht="15.75" x14ac:dyDescent="0.3">
      <c r="A6" s="135"/>
      <c r="B6" s="136"/>
      <c r="C6" s="137" t="s">
        <v>249</v>
      </c>
      <c r="D6" s="138" t="s">
        <v>249</v>
      </c>
      <c r="E6" s="123"/>
      <c r="F6" s="123"/>
      <c r="G6" s="123"/>
    </row>
    <row r="7" spans="1:7" ht="15.75" x14ac:dyDescent="0.3">
      <c r="A7" s="139" t="s">
        <v>223</v>
      </c>
      <c r="B7" s="140"/>
      <c r="C7" s="141"/>
      <c r="D7" s="142"/>
      <c r="E7" s="123"/>
      <c r="F7" s="123"/>
      <c r="G7" s="123"/>
    </row>
    <row r="8" spans="1:7" ht="15" x14ac:dyDescent="0.25">
      <c r="A8" s="143" t="s">
        <v>206</v>
      </c>
      <c r="B8" s="161"/>
      <c r="C8" s="145">
        <f>Monthly!G17</f>
        <v>9841.06</v>
      </c>
      <c r="D8" s="145"/>
      <c r="E8" s="123"/>
      <c r="F8" s="123"/>
      <c r="G8" s="123"/>
    </row>
    <row r="9" spans="1:7" ht="15" x14ac:dyDescent="0.25">
      <c r="A9" s="135" t="s">
        <v>253</v>
      </c>
      <c r="B9" s="161"/>
      <c r="C9" s="145">
        <f>NIS!C15</f>
        <v>590.46359999999993</v>
      </c>
      <c r="D9" s="145"/>
      <c r="E9" s="123"/>
      <c r="F9" s="123"/>
      <c r="G9" s="146"/>
    </row>
    <row r="10" spans="1:7" ht="15" x14ac:dyDescent="0.25">
      <c r="A10" s="135" t="s">
        <v>221</v>
      </c>
      <c r="B10" s="161"/>
      <c r="C10" s="147">
        <f>Monthly!H17</f>
        <v>0</v>
      </c>
      <c r="D10" s="145"/>
      <c r="E10" s="123"/>
      <c r="F10" s="146"/>
      <c r="G10" s="146"/>
    </row>
    <row r="11" spans="1:7" ht="15" x14ac:dyDescent="0.25">
      <c r="A11" s="135" t="s">
        <v>254</v>
      </c>
      <c r="B11" s="161"/>
      <c r="C11" s="147">
        <f>Monthly!I17</f>
        <v>0</v>
      </c>
      <c r="D11" s="145"/>
      <c r="E11" s="123"/>
      <c r="F11" s="146"/>
      <c r="G11" s="146"/>
    </row>
    <row r="12" spans="1:7" ht="15" x14ac:dyDescent="0.25">
      <c r="A12" s="135" t="s">
        <v>213</v>
      </c>
      <c r="B12" s="161"/>
      <c r="C12" s="147">
        <f>Monthly!J17</f>
        <v>0</v>
      </c>
      <c r="D12" s="145"/>
      <c r="E12" s="123"/>
      <c r="F12" s="146"/>
      <c r="G12" s="146"/>
    </row>
    <row r="13" spans="1:7" ht="16.5" x14ac:dyDescent="0.25">
      <c r="A13" s="139" t="s">
        <v>238</v>
      </c>
      <c r="B13" s="148"/>
      <c r="C13" s="145"/>
      <c r="D13" s="145"/>
      <c r="E13" s="123"/>
      <c r="F13" s="123"/>
      <c r="G13" s="123"/>
    </row>
    <row r="14" spans="1:7" ht="15" x14ac:dyDescent="0.25">
      <c r="A14" s="143" t="s">
        <v>206</v>
      </c>
      <c r="B14" s="161"/>
      <c r="C14" s="145">
        <f>Monthly!G21</f>
        <v>2950</v>
      </c>
      <c r="D14" s="145"/>
      <c r="E14" s="123"/>
      <c r="F14" s="123"/>
      <c r="G14" s="123"/>
    </row>
    <row r="15" spans="1:7" ht="15" x14ac:dyDescent="0.25">
      <c r="A15" s="135" t="s">
        <v>253</v>
      </c>
      <c r="B15" s="161"/>
      <c r="C15" s="145">
        <f>NIS!C20</f>
        <v>177</v>
      </c>
      <c r="D15" s="145"/>
      <c r="E15" s="123"/>
      <c r="F15" s="123"/>
      <c r="G15" s="146"/>
    </row>
    <row r="16" spans="1:7" ht="15" x14ac:dyDescent="0.25">
      <c r="A16" s="135" t="s">
        <v>221</v>
      </c>
      <c r="B16" s="161"/>
      <c r="C16" s="147">
        <f>Monthly!H21</f>
        <v>0</v>
      </c>
      <c r="D16" s="145"/>
      <c r="E16" s="123"/>
      <c r="F16" s="123"/>
      <c r="G16" s="146"/>
    </row>
    <row r="17" spans="1:15" ht="15" x14ac:dyDescent="0.25">
      <c r="A17" s="135" t="s">
        <v>254</v>
      </c>
      <c r="B17" s="161"/>
      <c r="C17" s="147">
        <f>Monthly!I21</f>
        <v>0</v>
      </c>
      <c r="D17" s="145"/>
      <c r="E17" s="123"/>
      <c r="F17" s="123"/>
      <c r="G17" s="146"/>
    </row>
    <row r="18" spans="1:15" ht="15" x14ac:dyDescent="0.25">
      <c r="A18" s="135" t="s">
        <v>213</v>
      </c>
      <c r="B18" s="223"/>
      <c r="C18" s="147">
        <f>Monthly!J21</f>
        <v>0</v>
      </c>
      <c r="D18" s="145"/>
      <c r="E18" s="123"/>
      <c r="F18" s="123"/>
      <c r="G18" s="146"/>
    </row>
    <row r="19" spans="1:15" ht="15" x14ac:dyDescent="0.25">
      <c r="A19" s="139" t="s">
        <v>239</v>
      </c>
      <c r="B19" s="144"/>
      <c r="C19" s="145"/>
      <c r="D19" s="145"/>
      <c r="E19" s="123"/>
      <c r="F19" s="123"/>
      <c r="G19" s="146"/>
    </row>
    <row r="20" spans="1:15" ht="15" x14ac:dyDescent="0.25">
      <c r="A20" s="143" t="s">
        <v>206</v>
      </c>
      <c r="B20" s="161"/>
      <c r="C20" s="145">
        <f>Monthly!G27</f>
        <v>5345.93</v>
      </c>
      <c r="D20" s="145"/>
      <c r="E20" s="123"/>
      <c r="F20" s="123"/>
      <c r="G20" s="146"/>
    </row>
    <row r="21" spans="1:15" ht="15" x14ac:dyDescent="0.25">
      <c r="A21" s="135" t="s">
        <v>253</v>
      </c>
      <c r="B21" s="161"/>
      <c r="C21" s="145">
        <f>NIS!C27</f>
        <v>320.75579999999997</v>
      </c>
      <c r="D21" s="145"/>
      <c r="E21" s="123"/>
      <c r="F21" s="123"/>
    </row>
    <row r="22" spans="1:15" ht="15" x14ac:dyDescent="0.25">
      <c r="A22" s="135" t="s">
        <v>221</v>
      </c>
      <c r="B22" s="161"/>
      <c r="C22" s="147">
        <f>Monthly!H27</f>
        <v>0</v>
      </c>
      <c r="D22" s="145"/>
      <c r="E22" s="123"/>
      <c r="F22" s="123"/>
    </row>
    <row r="23" spans="1:15" ht="15" x14ac:dyDescent="0.25">
      <c r="A23" s="135" t="s">
        <v>254</v>
      </c>
      <c r="B23" s="144"/>
      <c r="C23" s="147">
        <f>Monthly!I27</f>
        <v>0</v>
      </c>
      <c r="D23" s="145"/>
      <c r="E23" s="123"/>
      <c r="F23" s="123"/>
    </row>
    <row r="24" spans="1:15" ht="15" x14ac:dyDescent="0.25">
      <c r="A24" s="135" t="s">
        <v>213</v>
      </c>
      <c r="B24" s="144"/>
      <c r="C24" s="147">
        <f>Monthly!J27</f>
        <v>0</v>
      </c>
      <c r="D24" s="145"/>
      <c r="E24" s="123"/>
      <c r="F24" s="123"/>
    </row>
    <row r="25" spans="1:15" ht="15" x14ac:dyDescent="0.25">
      <c r="A25" s="135"/>
      <c r="B25" s="144"/>
      <c r="C25" s="147"/>
      <c r="D25" s="145"/>
      <c r="E25" s="123"/>
      <c r="F25" s="123"/>
    </row>
    <row r="26" spans="1:15" ht="15" x14ac:dyDescent="0.25">
      <c r="A26" s="315" t="s">
        <v>207</v>
      </c>
      <c r="B26" s="162"/>
      <c r="C26" s="145"/>
      <c r="D26" s="145">
        <f>Monthly!Q33</f>
        <v>17120.14</v>
      </c>
      <c r="E26" s="149"/>
      <c r="F26" s="149"/>
    </row>
    <row r="27" spans="1:15" ht="15" x14ac:dyDescent="0.25">
      <c r="A27" s="316" t="s">
        <v>255</v>
      </c>
      <c r="B27" s="162"/>
      <c r="C27" s="145"/>
      <c r="D27" s="145">
        <f>Monthly!L33</f>
        <v>0</v>
      </c>
      <c r="E27" s="123"/>
      <c r="F27" s="123"/>
    </row>
    <row r="28" spans="1:15" ht="15" x14ac:dyDescent="0.25">
      <c r="A28" s="315" t="s">
        <v>256</v>
      </c>
      <c r="B28" s="162"/>
      <c r="C28" s="145"/>
      <c r="D28" s="145">
        <f>NIS!E31</f>
        <v>1995.0693999999999</v>
      </c>
      <c r="E28" s="123"/>
      <c r="F28" s="123"/>
    </row>
    <row r="29" spans="1:15" ht="15" x14ac:dyDescent="0.25">
      <c r="A29" s="316" t="s">
        <v>257</v>
      </c>
      <c r="B29" s="162"/>
      <c r="C29" s="145"/>
      <c r="D29" s="145">
        <f>Monthly!O33</f>
        <v>0</v>
      </c>
      <c r="E29" s="123"/>
      <c r="F29" s="123"/>
    </row>
    <row r="30" spans="1:15" ht="15" x14ac:dyDescent="0.25">
      <c r="A30" s="315" t="s">
        <v>252</v>
      </c>
      <c r="B30" s="163"/>
      <c r="C30" s="145"/>
      <c r="D30" s="145">
        <f>Monthly!N33</f>
        <v>110</v>
      </c>
      <c r="E30" s="123"/>
      <c r="F30" s="123"/>
    </row>
    <row r="31" spans="1:15" ht="15" x14ac:dyDescent="0.25">
      <c r="A31" s="135"/>
      <c r="B31" s="131"/>
      <c r="C31" s="154"/>
      <c r="D31" s="154"/>
      <c r="E31" s="123"/>
      <c r="G31" s="151"/>
      <c r="H31" s="153"/>
      <c r="I31" s="153"/>
      <c r="J31" s="153"/>
      <c r="O31" s="153"/>
    </row>
    <row r="32" spans="1:15" ht="15" x14ac:dyDescent="0.25">
      <c r="A32" s="135"/>
      <c r="B32" s="131"/>
      <c r="C32" s="154"/>
      <c r="D32" s="154"/>
      <c r="E32" s="123"/>
      <c r="G32" s="151"/>
      <c r="H32" s="153"/>
      <c r="I32" s="153"/>
      <c r="J32" s="153"/>
      <c r="O32" s="153"/>
    </row>
    <row r="33" spans="1:15" ht="16.5" thickBot="1" x14ac:dyDescent="0.35">
      <c r="A33" s="135"/>
      <c r="B33" s="131"/>
      <c r="C33" s="155">
        <f>SUM(C8:C32)</f>
        <v>19225.2094</v>
      </c>
      <c r="D33" s="156">
        <f>SUM(D8:D32)</f>
        <v>19225.2094</v>
      </c>
      <c r="E33" s="157"/>
      <c r="F33" s="152"/>
    </row>
    <row r="34" spans="1:15" ht="16.5" thickTop="1" x14ac:dyDescent="0.3">
      <c r="A34" s="124"/>
      <c r="B34" s="125"/>
      <c r="C34" s="126"/>
      <c r="D34" s="127"/>
      <c r="E34" s="146"/>
      <c r="H34" s="150"/>
      <c r="M34" s="150"/>
    </row>
    <row r="35" spans="1:15" ht="15.75" x14ac:dyDescent="0.3">
      <c r="A35" s="124"/>
      <c r="B35" s="125"/>
      <c r="C35" s="126"/>
      <c r="D35" s="127"/>
      <c r="E35" s="123"/>
      <c r="F35" s="152"/>
      <c r="G35" s="151"/>
    </row>
    <row r="36" spans="1:15" ht="15.75" x14ac:dyDescent="0.25">
      <c r="A36" s="158"/>
      <c r="B36" s="159" t="s">
        <v>212</v>
      </c>
      <c r="C36" s="126"/>
      <c r="D36" s="160"/>
      <c r="G36" s="151"/>
    </row>
    <row r="37" spans="1:15" ht="15.75" x14ac:dyDescent="0.25">
      <c r="A37" s="158"/>
      <c r="B37" s="159" t="s">
        <v>10</v>
      </c>
      <c r="C37" s="124"/>
      <c r="D37" s="202"/>
      <c r="E37" s="113"/>
      <c r="G37" s="151"/>
    </row>
    <row r="38" spans="1:15" ht="15.75" x14ac:dyDescent="0.25">
      <c r="A38" s="158"/>
      <c r="B38" s="159" t="s">
        <v>211</v>
      </c>
      <c r="C38" s="126"/>
      <c r="D38" s="113"/>
      <c r="G38" s="151"/>
    </row>
    <row r="39" spans="1:15" ht="15.75" x14ac:dyDescent="0.25">
      <c r="A39" s="158"/>
      <c r="B39" s="159"/>
      <c r="C39" s="124"/>
      <c r="G39" s="151"/>
      <c r="J39" s="151"/>
      <c r="M39" s="153"/>
      <c r="N39" s="153"/>
      <c r="O39" s="151"/>
    </row>
    <row r="40" spans="1:15" ht="15.75" x14ac:dyDescent="0.25">
      <c r="A40" s="158"/>
      <c r="B40" s="159"/>
      <c r="C40" s="124"/>
      <c r="G40" s="151"/>
      <c r="J40" s="151"/>
      <c r="M40" s="153"/>
      <c r="N40" s="153"/>
      <c r="O40" s="151"/>
    </row>
    <row r="41" spans="1:15" ht="15.75" x14ac:dyDescent="0.25">
      <c r="A41" s="158"/>
      <c r="B41" s="159"/>
      <c r="C41" s="124"/>
      <c r="G41" s="151"/>
      <c r="J41" s="153"/>
      <c r="M41" s="153"/>
      <c r="N41" s="153"/>
      <c r="O41" s="153"/>
    </row>
    <row r="42" spans="1:15" ht="15.75" x14ac:dyDescent="0.25">
      <c r="A42" s="158"/>
      <c r="B42" s="159"/>
      <c r="C42" s="124"/>
      <c r="H42" s="150"/>
      <c r="I42" s="150"/>
      <c r="J42" s="150"/>
      <c r="M42" s="150"/>
      <c r="N42" s="150"/>
      <c r="O42" s="150"/>
    </row>
    <row r="43" spans="1:15" ht="15.75" x14ac:dyDescent="0.25">
      <c r="A43" s="158"/>
      <c r="B43" s="159"/>
      <c r="C43" s="124"/>
    </row>
    <row r="44" spans="1:15" ht="15.75" x14ac:dyDescent="0.25">
      <c r="A44" s="158"/>
      <c r="B44" s="159"/>
      <c r="C44" s="124"/>
    </row>
    <row r="45" spans="1:15" ht="15.75" x14ac:dyDescent="0.25">
      <c r="A45" s="158"/>
      <c r="B45" s="159"/>
      <c r="C45" s="124"/>
      <c r="H45" s="150"/>
    </row>
    <row r="46" spans="1:15" ht="15.75" x14ac:dyDescent="0.25">
      <c r="A46" s="158"/>
      <c r="B46" s="159"/>
      <c r="C46" s="124"/>
      <c r="G46" s="151"/>
    </row>
    <row r="47" spans="1:15" ht="15.75" x14ac:dyDescent="0.25">
      <c r="A47" s="158"/>
      <c r="B47" s="159"/>
      <c r="C47" s="124"/>
      <c r="G47" s="151"/>
    </row>
    <row r="48" spans="1:15" ht="15.75" x14ac:dyDescent="0.25">
      <c r="A48" s="158"/>
      <c r="B48" s="159"/>
      <c r="C48" s="124"/>
      <c r="G48" s="151"/>
    </row>
    <row r="49" spans="1:16" ht="15.75" x14ac:dyDescent="0.25">
      <c r="A49" s="158"/>
      <c r="B49" s="159"/>
      <c r="C49" s="124"/>
      <c r="G49" s="151"/>
    </row>
    <row r="50" spans="1:16" ht="15.75" x14ac:dyDescent="0.25">
      <c r="A50" s="158"/>
      <c r="B50" s="159"/>
      <c r="C50" s="124"/>
      <c r="G50" s="151"/>
      <c r="J50" s="153"/>
    </row>
    <row r="51" spans="1:16" ht="15.75" x14ac:dyDescent="0.25">
      <c r="A51" s="158"/>
      <c r="B51" s="159"/>
      <c r="C51" s="124"/>
      <c r="H51" s="150"/>
      <c r="I51" s="150"/>
      <c r="J51" s="150"/>
    </row>
    <row r="52" spans="1:16" ht="15.75" x14ac:dyDescent="0.25">
      <c r="A52" s="158"/>
      <c r="B52" s="159"/>
      <c r="C52" s="124"/>
    </row>
    <row r="53" spans="1:16" ht="15.75" x14ac:dyDescent="0.25">
      <c r="A53" s="158"/>
      <c r="B53" s="159"/>
      <c r="C53" s="124"/>
    </row>
    <row r="54" spans="1:16" ht="14.25" x14ac:dyDescent="0.2">
      <c r="A54" s="158"/>
      <c r="H54" s="150"/>
      <c r="M54" s="150"/>
    </row>
    <row r="55" spans="1:16" ht="14.25" x14ac:dyDescent="0.2">
      <c r="A55" s="158"/>
      <c r="G55" s="151"/>
    </row>
    <row r="56" spans="1:16" ht="14.25" x14ac:dyDescent="0.2">
      <c r="A56" s="158"/>
      <c r="G56" s="151"/>
    </row>
    <row r="57" spans="1:16" ht="14.25" x14ac:dyDescent="0.2">
      <c r="A57" s="158"/>
      <c r="G57" s="151"/>
    </row>
    <row r="58" spans="1:16" ht="14.25" x14ac:dyDescent="0.2">
      <c r="A58" s="158"/>
      <c r="G58" s="151"/>
    </row>
    <row r="59" spans="1:16" ht="14.25" x14ac:dyDescent="0.2">
      <c r="A59" s="158"/>
      <c r="G59" s="151"/>
    </row>
    <row r="60" spans="1:16" ht="14.25" x14ac:dyDescent="0.2">
      <c r="A60" s="158"/>
      <c r="G60" s="151"/>
    </row>
    <row r="61" spans="1:16" ht="14.25" x14ac:dyDescent="0.2">
      <c r="A61" s="158"/>
      <c r="G61" s="151"/>
    </row>
    <row r="62" spans="1:16" ht="14.25" x14ac:dyDescent="0.2">
      <c r="A62" s="158"/>
      <c r="G62" s="151"/>
    </row>
    <row r="63" spans="1:16" ht="14.25" x14ac:dyDescent="0.2">
      <c r="A63" s="158"/>
      <c r="G63" s="151"/>
      <c r="H63" s="153"/>
      <c r="I63" s="153"/>
      <c r="J63" s="153"/>
      <c r="M63" s="153"/>
      <c r="N63" s="153"/>
      <c r="O63" s="153"/>
    </row>
    <row r="64" spans="1:16" ht="14.25" x14ac:dyDescent="0.2">
      <c r="A64" s="158"/>
      <c r="H64" s="150"/>
      <c r="I64" s="150"/>
      <c r="J64" s="150"/>
      <c r="K64" s="150"/>
      <c r="L64" s="150"/>
      <c r="M64" s="150"/>
      <c r="N64" s="150"/>
      <c r="O64" s="150"/>
      <c r="P64" s="150"/>
    </row>
    <row r="65" spans="1:13" ht="14.25" x14ac:dyDescent="0.2">
      <c r="A65" s="158"/>
    </row>
    <row r="66" spans="1:13" ht="14.25" x14ac:dyDescent="0.2">
      <c r="A66" s="158"/>
    </row>
    <row r="67" spans="1:13" ht="14.25" x14ac:dyDescent="0.2">
      <c r="A67" s="158"/>
      <c r="H67" s="150"/>
      <c r="M67" s="150"/>
    </row>
    <row r="68" spans="1:13" ht="14.25" x14ac:dyDescent="0.2">
      <c r="A68" s="158"/>
      <c r="G68" s="151"/>
    </row>
    <row r="69" spans="1:13" ht="14.25" x14ac:dyDescent="0.2">
      <c r="A69" s="158"/>
      <c r="G69" s="151"/>
    </row>
    <row r="70" spans="1:13" ht="14.25" x14ac:dyDescent="0.2">
      <c r="A70" s="158"/>
      <c r="G70" s="151"/>
    </row>
    <row r="71" spans="1:13" ht="14.25" x14ac:dyDescent="0.2">
      <c r="A71" s="158"/>
      <c r="G71" s="151"/>
    </row>
    <row r="72" spans="1:13" ht="14.25" x14ac:dyDescent="0.2">
      <c r="A72" s="158"/>
      <c r="G72" s="151"/>
    </row>
    <row r="73" spans="1:13" ht="14.25" x14ac:dyDescent="0.2">
      <c r="A73" s="158"/>
      <c r="G73" s="151"/>
    </row>
    <row r="74" spans="1:13" ht="14.25" x14ac:dyDescent="0.2">
      <c r="A74" s="158"/>
      <c r="G74" s="151"/>
    </row>
    <row r="75" spans="1:13" ht="14.25" x14ac:dyDescent="0.2">
      <c r="A75" s="158"/>
      <c r="G75" s="151"/>
    </row>
    <row r="76" spans="1:13" ht="14.25" x14ac:dyDescent="0.2">
      <c r="A76" s="158"/>
      <c r="G76" s="151"/>
    </row>
    <row r="77" spans="1:13" ht="14.25" x14ac:dyDescent="0.2">
      <c r="A77" s="158"/>
    </row>
    <row r="78" spans="1:13" ht="14.25" x14ac:dyDescent="0.2">
      <c r="A78" s="158"/>
    </row>
    <row r="79" spans="1:13" ht="14.25" x14ac:dyDescent="0.2">
      <c r="A79" s="158"/>
      <c r="J79">
        <f>H77-J77</f>
        <v>0</v>
      </c>
    </row>
    <row r="80" spans="1:13" ht="14.25" x14ac:dyDescent="0.2">
      <c r="A80" s="158"/>
    </row>
    <row r="81" spans="1:1" ht="14.25" x14ac:dyDescent="0.2">
      <c r="A81" s="158"/>
    </row>
    <row r="82" spans="1:1" ht="14.25" x14ac:dyDescent="0.2">
      <c r="A82" s="158"/>
    </row>
    <row r="83" spans="1:1" ht="14.25" x14ac:dyDescent="0.2">
      <c r="A83" s="158"/>
    </row>
    <row r="84" spans="1:1" ht="14.25" x14ac:dyDescent="0.2">
      <c r="A84" s="158"/>
    </row>
    <row r="85" spans="1:1" ht="14.25" x14ac:dyDescent="0.2">
      <c r="A85" s="158"/>
    </row>
    <row r="86" spans="1:1" ht="14.25" x14ac:dyDescent="0.2">
      <c r="A86" s="158"/>
    </row>
    <row r="87" spans="1:1" ht="14.25" x14ac:dyDescent="0.2">
      <c r="A87" s="158"/>
    </row>
    <row r="88" spans="1:1" ht="14.25" x14ac:dyDescent="0.2">
      <c r="A88" s="158"/>
    </row>
    <row r="89" spans="1:1" ht="14.25" x14ac:dyDescent="0.2">
      <c r="A89" s="158"/>
    </row>
    <row r="90" spans="1:1" ht="14.25" x14ac:dyDescent="0.2">
      <c r="A90" s="158"/>
    </row>
    <row r="91" spans="1:1" ht="14.25" x14ac:dyDescent="0.2">
      <c r="A91" s="158"/>
    </row>
    <row r="92" spans="1:1" ht="14.25" x14ac:dyDescent="0.2">
      <c r="A92" s="158"/>
    </row>
    <row r="93" spans="1:1" ht="14.25" x14ac:dyDescent="0.2">
      <c r="A93" s="158"/>
    </row>
    <row r="94" spans="1:1" ht="14.25" x14ac:dyDescent="0.2">
      <c r="A94" s="158"/>
    </row>
    <row r="95" spans="1:1" ht="14.25" x14ac:dyDescent="0.2">
      <c r="A95" s="158"/>
    </row>
    <row r="96" spans="1:1" ht="14.25" x14ac:dyDescent="0.2">
      <c r="A96" s="158"/>
    </row>
    <row r="97" spans="1:1" ht="14.25" x14ac:dyDescent="0.2">
      <c r="A97" s="158"/>
    </row>
    <row r="98" spans="1:1" ht="14.25" x14ac:dyDescent="0.2">
      <c r="A98" s="158"/>
    </row>
    <row r="99" spans="1:1" ht="14.25" x14ac:dyDescent="0.2">
      <c r="A99" s="158"/>
    </row>
    <row r="100" spans="1:1" ht="14.25" x14ac:dyDescent="0.2">
      <c r="A100" s="158"/>
    </row>
    <row r="101" spans="1:1" ht="14.25" x14ac:dyDescent="0.2">
      <c r="A101" s="158"/>
    </row>
    <row r="102" spans="1:1" ht="14.25" x14ac:dyDescent="0.2">
      <c r="A102" s="158"/>
    </row>
    <row r="103" spans="1:1" ht="14.25" x14ac:dyDescent="0.2">
      <c r="A103" s="158"/>
    </row>
    <row r="104" spans="1:1" ht="14.25" x14ac:dyDescent="0.2">
      <c r="A104" s="158"/>
    </row>
    <row r="105" spans="1:1" ht="14.25" x14ac:dyDescent="0.2">
      <c r="A105" s="158"/>
    </row>
    <row r="106" spans="1:1" ht="14.25" x14ac:dyDescent="0.2">
      <c r="A106" s="158"/>
    </row>
    <row r="107" spans="1:1" ht="14.25" x14ac:dyDescent="0.2">
      <c r="A107" s="158"/>
    </row>
    <row r="108" spans="1:1" ht="14.25" x14ac:dyDescent="0.2">
      <c r="A108" s="158"/>
    </row>
    <row r="109" spans="1:1" ht="14.25" x14ac:dyDescent="0.2">
      <c r="A109" s="158"/>
    </row>
    <row r="110" spans="1:1" ht="14.25" x14ac:dyDescent="0.2">
      <c r="A110" s="158"/>
    </row>
    <row r="111" spans="1:1" ht="14.25" x14ac:dyDescent="0.2">
      <c r="A111" s="158"/>
    </row>
    <row r="112" spans="1:1" ht="14.25" x14ac:dyDescent="0.2">
      <c r="A112" s="158"/>
    </row>
    <row r="113" spans="1:1" ht="14.25" x14ac:dyDescent="0.2">
      <c r="A113" s="158"/>
    </row>
    <row r="114" spans="1:1" ht="14.25" x14ac:dyDescent="0.2">
      <c r="A114" s="158"/>
    </row>
    <row r="115" spans="1:1" ht="14.25" x14ac:dyDescent="0.2">
      <c r="A115" s="158"/>
    </row>
    <row r="116" spans="1:1" ht="14.25" x14ac:dyDescent="0.2">
      <c r="A116" s="158"/>
    </row>
    <row r="117" spans="1:1" ht="14.25" x14ac:dyDescent="0.2">
      <c r="A117" s="158"/>
    </row>
    <row r="118" spans="1:1" ht="14.25" x14ac:dyDescent="0.2">
      <c r="A118" s="158"/>
    </row>
    <row r="119" spans="1:1" ht="14.25" x14ac:dyDescent="0.2">
      <c r="A119" s="158"/>
    </row>
    <row r="120" spans="1:1" ht="14.25" x14ac:dyDescent="0.2">
      <c r="A120" s="158"/>
    </row>
    <row r="121" spans="1:1" ht="14.25" x14ac:dyDescent="0.2">
      <c r="A121" s="158"/>
    </row>
    <row r="122" spans="1:1" ht="14.25" x14ac:dyDescent="0.2">
      <c r="A122" s="158"/>
    </row>
    <row r="123" spans="1:1" ht="14.25" x14ac:dyDescent="0.2">
      <c r="A123" s="158"/>
    </row>
    <row r="124" spans="1:1" ht="14.25" x14ac:dyDescent="0.2">
      <c r="A124" s="158"/>
    </row>
    <row r="125" spans="1:1" ht="14.25" x14ac:dyDescent="0.2">
      <c r="A125" s="158"/>
    </row>
    <row r="126" spans="1:1" ht="14.25" x14ac:dyDescent="0.2">
      <c r="A126" s="158"/>
    </row>
    <row r="127" spans="1:1" ht="14.25" x14ac:dyDescent="0.2">
      <c r="A127" s="158"/>
    </row>
    <row r="128" spans="1:1" ht="14.25" x14ac:dyDescent="0.2">
      <c r="A128" s="158"/>
    </row>
    <row r="129" spans="1:1" ht="14.25" x14ac:dyDescent="0.2">
      <c r="A129" s="158"/>
    </row>
    <row r="130" spans="1:1" ht="14.25" x14ac:dyDescent="0.2">
      <c r="A130" s="158"/>
    </row>
    <row r="131" spans="1:1" ht="14.25" x14ac:dyDescent="0.2">
      <c r="A131" s="158"/>
    </row>
    <row r="132" spans="1:1" ht="14.25" x14ac:dyDescent="0.2">
      <c r="A132" s="158"/>
    </row>
    <row r="133" spans="1:1" ht="14.25" x14ac:dyDescent="0.2">
      <c r="A133" s="158"/>
    </row>
    <row r="134" spans="1:1" ht="14.25" x14ac:dyDescent="0.2">
      <c r="A134" s="158"/>
    </row>
    <row r="135" spans="1:1" ht="14.25" x14ac:dyDescent="0.2">
      <c r="A135" s="158"/>
    </row>
    <row r="136" spans="1:1" ht="14.25" x14ac:dyDescent="0.2">
      <c r="A136" s="158"/>
    </row>
    <row r="137" spans="1:1" ht="14.25" x14ac:dyDescent="0.2">
      <c r="A137" s="158"/>
    </row>
    <row r="138" spans="1:1" ht="14.25" x14ac:dyDescent="0.2">
      <c r="A138" s="158"/>
    </row>
    <row r="139" spans="1:1" ht="14.25" x14ac:dyDescent="0.2">
      <c r="A139" s="158"/>
    </row>
    <row r="140" spans="1:1" ht="14.25" x14ac:dyDescent="0.2">
      <c r="A140" s="158"/>
    </row>
    <row r="141" spans="1:1" ht="14.25" x14ac:dyDescent="0.2">
      <c r="A141" s="158"/>
    </row>
    <row r="142" spans="1:1" ht="14.25" x14ac:dyDescent="0.2">
      <c r="A142" s="158"/>
    </row>
    <row r="143" spans="1:1" ht="14.25" x14ac:dyDescent="0.2">
      <c r="A143" s="158"/>
    </row>
    <row r="144" spans="1:1" ht="14.25" x14ac:dyDescent="0.2">
      <c r="A144" s="158"/>
    </row>
    <row r="145" spans="1:1" ht="14.25" x14ac:dyDescent="0.2">
      <c r="A145" s="158"/>
    </row>
    <row r="146" spans="1:1" ht="14.25" x14ac:dyDescent="0.2">
      <c r="A146" s="158"/>
    </row>
    <row r="147" spans="1:1" ht="14.25" x14ac:dyDescent="0.2">
      <c r="A147" s="158"/>
    </row>
    <row r="148" spans="1:1" ht="14.25" x14ac:dyDescent="0.2">
      <c r="A148" s="158"/>
    </row>
    <row r="149" spans="1:1" ht="14.25" x14ac:dyDescent="0.2">
      <c r="A149" s="158"/>
    </row>
    <row r="150" spans="1:1" ht="14.25" x14ac:dyDescent="0.2">
      <c r="A150" s="158"/>
    </row>
    <row r="151" spans="1:1" ht="14.25" x14ac:dyDescent="0.2">
      <c r="A151" s="158"/>
    </row>
    <row r="152" spans="1:1" ht="14.25" x14ac:dyDescent="0.2">
      <c r="A152" s="158"/>
    </row>
    <row r="153" spans="1:1" ht="14.25" x14ac:dyDescent="0.2">
      <c r="A153" s="158"/>
    </row>
    <row r="154" spans="1:1" ht="14.25" x14ac:dyDescent="0.2">
      <c r="A154" s="158"/>
    </row>
    <row r="155" spans="1:1" ht="14.25" x14ac:dyDescent="0.2">
      <c r="A155" s="158"/>
    </row>
    <row r="156" spans="1:1" ht="14.25" x14ac:dyDescent="0.2">
      <c r="A156" s="158"/>
    </row>
    <row r="157" spans="1:1" ht="14.25" x14ac:dyDescent="0.2">
      <c r="A157" s="158"/>
    </row>
    <row r="158" spans="1:1" ht="14.25" x14ac:dyDescent="0.2">
      <c r="A158" s="158"/>
    </row>
    <row r="159" spans="1:1" ht="14.25" x14ac:dyDescent="0.2">
      <c r="A159" s="158"/>
    </row>
    <row r="160" spans="1:1" ht="14.25" x14ac:dyDescent="0.2">
      <c r="A160" s="158"/>
    </row>
    <row r="161" spans="1:1" ht="14.25" x14ac:dyDescent="0.2">
      <c r="A161" s="158"/>
    </row>
    <row r="162" spans="1:1" ht="14.25" x14ac:dyDescent="0.2">
      <c r="A162" s="158"/>
    </row>
    <row r="163" spans="1:1" ht="14.25" x14ac:dyDescent="0.2">
      <c r="A163" s="158"/>
    </row>
    <row r="164" spans="1:1" ht="14.25" x14ac:dyDescent="0.2">
      <c r="A164" s="158"/>
    </row>
    <row r="165" spans="1:1" ht="14.25" x14ac:dyDescent="0.2">
      <c r="A165" s="158"/>
    </row>
    <row r="166" spans="1:1" ht="14.25" x14ac:dyDescent="0.2">
      <c r="A166" s="158"/>
    </row>
    <row r="167" spans="1:1" ht="14.25" x14ac:dyDescent="0.2">
      <c r="A167" s="158"/>
    </row>
    <row r="168" spans="1:1" ht="14.25" x14ac:dyDescent="0.2">
      <c r="A168" s="158"/>
    </row>
    <row r="169" spans="1:1" ht="14.25" x14ac:dyDescent="0.2">
      <c r="A169" s="158"/>
    </row>
    <row r="170" spans="1:1" ht="14.25" x14ac:dyDescent="0.2">
      <c r="A170" s="158"/>
    </row>
    <row r="171" spans="1:1" ht="14.25" x14ac:dyDescent="0.2">
      <c r="A171" s="158"/>
    </row>
    <row r="172" spans="1:1" ht="14.25" x14ac:dyDescent="0.2">
      <c r="A172" s="158"/>
    </row>
    <row r="173" spans="1:1" ht="14.25" x14ac:dyDescent="0.2">
      <c r="A173" s="158"/>
    </row>
    <row r="174" spans="1:1" ht="14.25" x14ac:dyDescent="0.2">
      <c r="A174" s="158"/>
    </row>
    <row r="175" spans="1:1" ht="14.25" x14ac:dyDescent="0.2">
      <c r="A175" s="158"/>
    </row>
    <row r="176" spans="1:1" ht="14.25" x14ac:dyDescent="0.2">
      <c r="A176" s="158"/>
    </row>
    <row r="177" spans="1:1" ht="14.25" x14ac:dyDescent="0.2">
      <c r="A177" s="158"/>
    </row>
    <row r="178" spans="1:1" ht="14.25" x14ac:dyDescent="0.2">
      <c r="A178" s="158"/>
    </row>
    <row r="179" spans="1:1" ht="14.25" x14ac:dyDescent="0.2">
      <c r="A179" s="158"/>
    </row>
    <row r="180" spans="1:1" ht="14.25" x14ac:dyDescent="0.2">
      <c r="A180" s="158"/>
    </row>
    <row r="181" spans="1:1" ht="14.25" x14ac:dyDescent="0.2">
      <c r="A181" s="158"/>
    </row>
    <row r="182" spans="1:1" ht="14.25" x14ac:dyDescent="0.2">
      <c r="A182" s="158"/>
    </row>
    <row r="183" spans="1:1" ht="14.25" x14ac:dyDescent="0.2">
      <c r="A183" s="158"/>
    </row>
    <row r="184" spans="1:1" ht="14.25" x14ac:dyDescent="0.2">
      <c r="A184" s="158"/>
    </row>
    <row r="185" spans="1:1" ht="14.25" x14ac:dyDescent="0.2">
      <c r="A185" s="158"/>
    </row>
    <row r="186" spans="1:1" ht="14.25" x14ac:dyDescent="0.2">
      <c r="A186" s="158"/>
    </row>
    <row r="187" spans="1:1" ht="14.25" x14ac:dyDescent="0.2">
      <c r="A187" s="158"/>
    </row>
    <row r="188" spans="1:1" ht="14.25" x14ac:dyDescent="0.2">
      <c r="A188" s="158"/>
    </row>
    <row r="189" spans="1:1" ht="14.25" x14ac:dyDescent="0.2">
      <c r="A189" s="158"/>
    </row>
    <row r="190" spans="1:1" ht="14.25" x14ac:dyDescent="0.2">
      <c r="A190" s="158"/>
    </row>
    <row r="191" spans="1:1" ht="14.25" x14ac:dyDescent="0.2">
      <c r="A191" s="158"/>
    </row>
    <row r="192" spans="1:1" ht="14.25" x14ac:dyDescent="0.2">
      <c r="A192" s="158"/>
    </row>
    <row r="193" spans="1:1" ht="14.25" x14ac:dyDescent="0.2">
      <c r="A193" s="158"/>
    </row>
    <row r="194" spans="1:1" ht="14.25" x14ac:dyDescent="0.2">
      <c r="A194" s="158"/>
    </row>
    <row r="195" spans="1:1" ht="14.25" x14ac:dyDescent="0.2">
      <c r="A195" s="158"/>
    </row>
    <row r="196" spans="1:1" ht="14.25" x14ac:dyDescent="0.2">
      <c r="A196" s="158"/>
    </row>
    <row r="197" spans="1:1" ht="14.25" x14ac:dyDescent="0.2">
      <c r="A197" s="158"/>
    </row>
    <row r="198" spans="1:1" ht="14.25" x14ac:dyDescent="0.2">
      <c r="A198" s="158"/>
    </row>
    <row r="199" spans="1:1" ht="14.25" x14ac:dyDescent="0.2">
      <c r="A199" s="158"/>
    </row>
    <row r="200" spans="1:1" ht="14.25" x14ac:dyDescent="0.2">
      <c r="A200" s="158"/>
    </row>
    <row r="201" spans="1:1" ht="14.25" x14ac:dyDescent="0.2">
      <c r="A201" s="158"/>
    </row>
    <row r="202" spans="1:1" ht="14.25" x14ac:dyDescent="0.2">
      <c r="A202" s="158"/>
    </row>
    <row r="203" spans="1:1" ht="14.25" x14ac:dyDescent="0.2">
      <c r="A203" s="158"/>
    </row>
    <row r="204" spans="1:1" ht="14.25" x14ac:dyDescent="0.2">
      <c r="A204" s="158"/>
    </row>
    <row r="205" spans="1:1" ht="14.25" x14ac:dyDescent="0.2">
      <c r="A205" s="158"/>
    </row>
    <row r="206" spans="1:1" ht="14.25" x14ac:dyDescent="0.2">
      <c r="A206" s="158"/>
    </row>
    <row r="207" spans="1:1" ht="14.25" x14ac:dyDescent="0.2">
      <c r="A207" s="158"/>
    </row>
    <row r="208" spans="1:1" ht="14.25" x14ac:dyDescent="0.2">
      <c r="A208" s="158"/>
    </row>
    <row r="209" spans="1:1" ht="14.25" x14ac:dyDescent="0.2">
      <c r="A209" s="158"/>
    </row>
    <row r="210" spans="1:1" ht="14.25" x14ac:dyDescent="0.2">
      <c r="A210" s="158"/>
    </row>
    <row r="211" spans="1:1" ht="14.25" x14ac:dyDescent="0.2">
      <c r="A211" s="158"/>
    </row>
    <row r="212" spans="1:1" ht="14.25" x14ac:dyDescent="0.2">
      <c r="A212" s="158"/>
    </row>
    <row r="213" spans="1:1" ht="14.25" x14ac:dyDescent="0.2">
      <c r="A213" s="158"/>
    </row>
    <row r="214" spans="1:1" ht="14.25" x14ac:dyDescent="0.2">
      <c r="A214" s="158"/>
    </row>
    <row r="215" spans="1:1" ht="14.25" x14ac:dyDescent="0.2">
      <c r="A215" s="158"/>
    </row>
    <row r="216" spans="1:1" ht="14.25" x14ac:dyDescent="0.2">
      <c r="A216" s="158"/>
    </row>
    <row r="217" spans="1:1" ht="14.25" x14ac:dyDescent="0.2">
      <c r="A217" s="158"/>
    </row>
    <row r="218" spans="1:1" ht="14.25" x14ac:dyDescent="0.2">
      <c r="A218" s="158"/>
    </row>
    <row r="219" spans="1:1" ht="14.25" x14ac:dyDescent="0.2">
      <c r="A219" s="158"/>
    </row>
    <row r="220" spans="1:1" ht="14.25" x14ac:dyDescent="0.2">
      <c r="A220" s="158"/>
    </row>
    <row r="221" spans="1:1" ht="14.25" x14ac:dyDescent="0.2">
      <c r="A221" s="158"/>
    </row>
    <row r="222" spans="1:1" ht="14.25" x14ac:dyDescent="0.2">
      <c r="A222" s="158"/>
    </row>
    <row r="223" spans="1:1" ht="14.25" x14ac:dyDescent="0.2">
      <c r="A223" s="158"/>
    </row>
    <row r="224" spans="1:1" ht="14.25" x14ac:dyDescent="0.2">
      <c r="A224" s="158"/>
    </row>
    <row r="225" spans="1:1" ht="14.25" x14ac:dyDescent="0.2">
      <c r="A225" s="158"/>
    </row>
    <row r="226" spans="1:1" ht="14.25" x14ac:dyDescent="0.2">
      <c r="A226" s="158"/>
    </row>
    <row r="227" spans="1:1" ht="14.25" x14ac:dyDescent="0.2">
      <c r="A227" s="158"/>
    </row>
    <row r="228" spans="1:1" ht="14.25" x14ac:dyDescent="0.2">
      <c r="A228" s="158"/>
    </row>
    <row r="229" spans="1:1" ht="14.25" x14ac:dyDescent="0.2">
      <c r="A229" s="158"/>
    </row>
    <row r="230" spans="1:1" ht="14.25" x14ac:dyDescent="0.2">
      <c r="A230" s="158"/>
    </row>
    <row r="231" spans="1:1" ht="14.25" x14ac:dyDescent="0.2">
      <c r="A231" s="158"/>
    </row>
    <row r="232" spans="1:1" ht="14.25" x14ac:dyDescent="0.2">
      <c r="A232" s="158"/>
    </row>
    <row r="233" spans="1:1" ht="14.25" x14ac:dyDescent="0.2">
      <c r="A233" s="158"/>
    </row>
    <row r="234" spans="1:1" ht="14.25" x14ac:dyDescent="0.2">
      <c r="A234" s="158"/>
    </row>
    <row r="235" spans="1:1" ht="14.25" x14ac:dyDescent="0.2">
      <c r="A235" s="158"/>
    </row>
    <row r="236" spans="1:1" ht="14.25" x14ac:dyDescent="0.2">
      <c r="A236" s="158"/>
    </row>
    <row r="237" spans="1:1" ht="14.25" x14ac:dyDescent="0.2">
      <c r="A237" s="158"/>
    </row>
    <row r="238" spans="1:1" ht="14.25" x14ac:dyDescent="0.2">
      <c r="A238" s="158"/>
    </row>
    <row r="239" spans="1:1" ht="14.25" x14ac:dyDescent="0.2">
      <c r="A239" s="158"/>
    </row>
    <row r="240" spans="1:1" ht="14.25" x14ac:dyDescent="0.2">
      <c r="A240" s="158"/>
    </row>
    <row r="241" spans="1:1" ht="14.25" x14ac:dyDescent="0.2">
      <c r="A241" s="158"/>
    </row>
    <row r="242" spans="1:1" ht="14.25" x14ac:dyDescent="0.2">
      <c r="A242" s="158"/>
    </row>
    <row r="243" spans="1:1" ht="14.25" x14ac:dyDescent="0.2">
      <c r="A243" s="158"/>
    </row>
    <row r="244" spans="1:1" ht="14.25" x14ac:dyDescent="0.2">
      <c r="A244" s="158"/>
    </row>
    <row r="245" spans="1:1" ht="14.25" x14ac:dyDescent="0.2">
      <c r="A245" s="158"/>
    </row>
    <row r="246" spans="1:1" ht="14.25" x14ac:dyDescent="0.2">
      <c r="A246" s="158"/>
    </row>
    <row r="247" spans="1:1" ht="14.25" x14ac:dyDescent="0.2">
      <c r="A247" s="158"/>
    </row>
    <row r="248" spans="1:1" ht="14.25" x14ac:dyDescent="0.2">
      <c r="A248" s="158"/>
    </row>
    <row r="249" spans="1:1" ht="14.25" x14ac:dyDescent="0.2">
      <c r="A249" s="158"/>
    </row>
    <row r="250" spans="1:1" ht="14.25" x14ac:dyDescent="0.2">
      <c r="A250" s="158"/>
    </row>
    <row r="251" spans="1:1" ht="14.25" x14ac:dyDescent="0.2">
      <c r="A251" s="158"/>
    </row>
    <row r="252" spans="1:1" ht="14.25" x14ac:dyDescent="0.2">
      <c r="A252" s="158"/>
    </row>
    <row r="253" spans="1:1" ht="14.25" x14ac:dyDescent="0.2">
      <c r="A253" s="158"/>
    </row>
    <row r="254" spans="1:1" ht="14.25" x14ac:dyDescent="0.2">
      <c r="A254" s="158"/>
    </row>
    <row r="255" spans="1:1" ht="14.25" x14ac:dyDescent="0.2">
      <c r="A255" s="158"/>
    </row>
    <row r="256" spans="1:1" ht="14.25" x14ac:dyDescent="0.2">
      <c r="A256" s="158"/>
    </row>
    <row r="257" spans="1:1" ht="14.25" x14ac:dyDescent="0.2">
      <c r="A257" s="158"/>
    </row>
    <row r="258" spans="1:1" ht="14.25" x14ac:dyDescent="0.2">
      <c r="A258" s="158"/>
    </row>
    <row r="259" spans="1:1" ht="14.25" x14ac:dyDescent="0.2">
      <c r="A259" s="158"/>
    </row>
    <row r="260" spans="1:1" ht="14.25" x14ac:dyDescent="0.2">
      <c r="A260" s="158"/>
    </row>
    <row r="261" spans="1:1" ht="14.25" x14ac:dyDescent="0.2">
      <c r="A261" s="158"/>
    </row>
    <row r="262" spans="1:1" ht="14.25" x14ac:dyDescent="0.2">
      <c r="A262" s="158"/>
    </row>
    <row r="263" spans="1:1" ht="14.25" x14ac:dyDescent="0.2">
      <c r="A263" s="158"/>
    </row>
    <row r="264" spans="1:1" ht="14.25" x14ac:dyDescent="0.2">
      <c r="A264" s="158"/>
    </row>
    <row r="265" spans="1:1" ht="14.25" x14ac:dyDescent="0.2">
      <c r="A265" s="158"/>
    </row>
    <row r="266" spans="1:1" ht="14.25" x14ac:dyDescent="0.2">
      <c r="A266" s="158"/>
    </row>
    <row r="267" spans="1:1" ht="14.25" x14ac:dyDescent="0.2">
      <c r="A267" s="158"/>
    </row>
    <row r="268" spans="1:1" ht="14.25" x14ac:dyDescent="0.2">
      <c r="A268" s="158"/>
    </row>
    <row r="269" spans="1:1" ht="14.25" x14ac:dyDescent="0.2">
      <c r="A269" s="158"/>
    </row>
    <row r="270" spans="1:1" ht="14.25" x14ac:dyDescent="0.2">
      <c r="A270" s="158"/>
    </row>
    <row r="271" spans="1:1" ht="14.25" x14ac:dyDescent="0.2">
      <c r="A271" s="158"/>
    </row>
    <row r="272" spans="1:1" ht="14.25" x14ac:dyDescent="0.2">
      <c r="A272" s="158"/>
    </row>
    <row r="273" spans="1:1" ht="14.25" x14ac:dyDescent="0.2">
      <c r="A273" s="158"/>
    </row>
    <row r="274" spans="1:1" ht="14.25" x14ac:dyDescent="0.2">
      <c r="A274" s="158"/>
    </row>
    <row r="275" spans="1:1" ht="14.25" x14ac:dyDescent="0.2">
      <c r="A275" s="158"/>
    </row>
    <row r="276" spans="1:1" ht="14.25" x14ac:dyDescent="0.2">
      <c r="A276" s="158"/>
    </row>
    <row r="277" spans="1:1" ht="14.25" x14ac:dyDescent="0.2">
      <c r="A277" s="158"/>
    </row>
    <row r="278" spans="1:1" ht="14.25" x14ac:dyDescent="0.2">
      <c r="A278" s="158"/>
    </row>
    <row r="279" spans="1:1" ht="14.25" x14ac:dyDescent="0.2">
      <c r="A279" s="158"/>
    </row>
    <row r="280" spans="1:1" ht="14.25" x14ac:dyDescent="0.2">
      <c r="A280" s="158"/>
    </row>
    <row r="281" spans="1:1" ht="14.25" x14ac:dyDescent="0.2">
      <c r="A281" s="158"/>
    </row>
    <row r="282" spans="1:1" ht="14.25" x14ac:dyDescent="0.2">
      <c r="A282" s="158"/>
    </row>
    <row r="283" spans="1:1" ht="14.25" x14ac:dyDescent="0.2">
      <c r="A283" s="158"/>
    </row>
    <row r="284" spans="1:1" ht="14.25" x14ac:dyDescent="0.2">
      <c r="A284" s="158"/>
    </row>
    <row r="285" spans="1:1" ht="14.25" x14ac:dyDescent="0.2">
      <c r="A285" s="158"/>
    </row>
    <row r="286" spans="1:1" ht="14.25" x14ac:dyDescent="0.2">
      <c r="A286" s="158"/>
    </row>
    <row r="287" spans="1:1" ht="14.25" x14ac:dyDescent="0.2">
      <c r="A287" s="158"/>
    </row>
    <row r="288" spans="1:1" ht="14.25" x14ac:dyDescent="0.2">
      <c r="A288" s="158"/>
    </row>
    <row r="289" spans="1:1" ht="14.25" x14ac:dyDescent="0.2">
      <c r="A289" s="158"/>
    </row>
    <row r="290" spans="1:1" ht="14.25" x14ac:dyDescent="0.2">
      <c r="A290" s="158"/>
    </row>
    <row r="291" spans="1:1" ht="14.25" x14ac:dyDescent="0.2">
      <c r="A291" s="158"/>
    </row>
    <row r="292" spans="1:1" ht="14.25" x14ac:dyDescent="0.2">
      <c r="A292" s="158"/>
    </row>
    <row r="293" spans="1:1" ht="14.25" x14ac:dyDescent="0.2">
      <c r="A293" s="158"/>
    </row>
    <row r="294" spans="1:1" ht="14.25" x14ac:dyDescent="0.2">
      <c r="A294" s="158"/>
    </row>
    <row r="295" spans="1:1" ht="14.25" x14ac:dyDescent="0.2">
      <c r="A295" s="158"/>
    </row>
    <row r="296" spans="1:1" ht="14.25" x14ac:dyDescent="0.2">
      <c r="A296" s="158"/>
    </row>
    <row r="297" spans="1:1" ht="14.25" x14ac:dyDescent="0.2">
      <c r="A297" s="158"/>
    </row>
    <row r="298" spans="1:1" ht="14.25" x14ac:dyDescent="0.2">
      <c r="A298" s="158"/>
    </row>
    <row r="299" spans="1:1" ht="14.25" x14ac:dyDescent="0.2">
      <c r="A299" s="158"/>
    </row>
    <row r="300" spans="1:1" ht="14.25" x14ac:dyDescent="0.2">
      <c r="A300" s="158"/>
    </row>
    <row r="301" spans="1:1" ht="14.25" x14ac:dyDescent="0.2">
      <c r="A301" s="158"/>
    </row>
    <row r="302" spans="1:1" ht="14.25" x14ac:dyDescent="0.2">
      <c r="A302" s="158"/>
    </row>
    <row r="303" spans="1:1" ht="14.25" x14ac:dyDescent="0.2">
      <c r="A303" s="158"/>
    </row>
    <row r="304" spans="1:1" ht="14.25" x14ac:dyDescent="0.2">
      <c r="A304" s="158"/>
    </row>
    <row r="305" spans="1:1" ht="14.25" x14ac:dyDescent="0.2">
      <c r="A305" s="158"/>
    </row>
    <row r="306" spans="1:1" ht="14.25" x14ac:dyDescent="0.2">
      <c r="A306" s="158"/>
    </row>
    <row r="307" spans="1:1" ht="14.25" x14ac:dyDescent="0.2">
      <c r="A307" s="158"/>
    </row>
    <row r="308" spans="1:1" ht="14.25" x14ac:dyDescent="0.2">
      <c r="A308" s="158"/>
    </row>
    <row r="309" spans="1:1" ht="14.25" x14ac:dyDescent="0.2">
      <c r="A309" s="158"/>
    </row>
    <row r="310" spans="1:1" ht="14.25" x14ac:dyDescent="0.2">
      <c r="A310" s="158"/>
    </row>
    <row r="311" spans="1:1" ht="14.25" x14ac:dyDescent="0.2">
      <c r="A311" s="158"/>
    </row>
    <row r="312" spans="1:1" ht="14.25" x14ac:dyDescent="0.2">
      <c r="A312" s="158"/>
    </row>
    <row r="313" spans="1:1" ht="14.25" x14ac:dyDescent="0.2">
      <c r="A313" s="158"/>
    </row>
    <row r="314" spans="1:1" ht="14.25" x14ac:dyDescent="0.2">
      <c r="A314" s="158"/>
    </row>
    <row r="315" spans="1:1" ht="14.25" x14ac:dyDescent="0.2">
      <c r="A315" s="158"/>
    </row>
    <row r="316" spans="1:1" ht="14.25" x14ac:dyDescent="0.2">
      <c r="A316" s="158"/>
    </row>
    <row r="317" spans="1:1" ht="14.25" x14ac:dyDescent="0.2">
      <c r="A317" s="158"/>
    </row>
    <row r="318" spans="1:1" ht="14.25" x14ac:dyDescent="0.2">
      <c r="A318" s="158"/>
    </row>
    <row r="319" spans="1:1" ht="14.25" x14ac:dyDescent="0.2">
      <c r="A319" s="158"/>
    </row>
    <row r="320" spans="1:1" ht="14.25" x14ac:dyDescent="0.2">
      <c r="A320" s="158"/>
    </row>
    <row r="321" spans="1:1" ht="14.25" x14ac:dyDescent="0.2">
      <c r="A321" s="158"/>
    </row>
    <row r="322" spans="1:1" ht="14.25" x14ac:dyDescent="0.2">
      <c r="A322" s="158"/>
    </row>
    <row r="323" spans="1:1" ht="14.25" x14ac:dyDescent="0.2">
      <c r="A323" s="158"/>
    </row>
    <row r="324" spans="1:1" ht="14.25" x14ac:dyDescent="0.2">
      <c r="A324" s="158"/>
    </row>
    <row r="325" spans="1:1" ht="14.25" x14ac:dyDescent="0.2">
      <c r="A325" s="158"/>
    </row>
    <row r="326" spans="1:1" ht="14.25" x14ac:dyDescent="0.2">
      <c r="A326" s="158"/>
    </row>
    <row r="327" spans="1:1" ht="14.25" x14ac:dyDescent="0.2">
      <c r="A327" s="158"/>
    </row>
    <row r="328" spans="1:1" ht="14.25" x14ac:dyDescent="0.2">
      <c r="A328" s="158"/>
    </row>
    <row r="329" spans="1:1" ht="14.25" x14ac:dyDescent="0.2">
      <c r="A329" s="158"/>
    </row>
    <row r="330" spans="1:1" ht="14.25" x14ac:dyDescent="0.2">
      <c r="A330" s="158"/>
    </row>
    <row r="331" spans="1:1" ht="14.25" x14ac:dyDescent="0.2">
      <c r="A331" s="158"/>
    </row>
    <row r="332" spans="1:1" ht="14.25" x14ac:dyDescent="0.2">
      <c r="A332" s="158"/>
    </row>
    <row r="333" spans="1:1" ht="14.25" x14ac:dyDescent="0.2">
      <c r="A333" s="158"/>
    </row>
    <row r="334" spans="1:1" ht="14.25" x14ac:dyDescent="0.2">
      <c r="A334" s="158"/>
    </row>
    <row r="335" spans="1:1" ht="14.25" x14ac:dyDescent="0.2">
      <c r="A335" s="158"/>
    </row>
    <row r="336" spans="1:1" ht="14.25" x14ac:dyDescent="0.2">
      <c r="A336" s="158"/>
    </row>
    <row r="337" spans="1:1" ht="14.25" x14ac:dyDescent="0.2">
      <c r="A337" s="158"/>
    </row>
    <row r="338" spans="1:1" ht="14.25" x14ac:dyDescent="0.2">
      <c r="A338" s="158"/>
    </row>
    <row r="339" spans="1:1" ht="14.25" x14ac:dyDescent="0.2">
      <c r="A339" s="158"/>
    </row>
    <row r="340" spans="1:1" ht="14.25" x14ac:dyDescent="0.2">
      <c r="A340" s="158"/>
    </row>
    <row r="341" spans="1:1" ht="14.25" x14ac:dyDescent="0.2">
      <c r="A341" s="158"/>
    </row>
    <row r="342" spans="1:1" ht="14.25" x14ac:dyDescent="0.2">
      <c r="A342" s="158"/>
    </row>
    <row r="343" spans="1:1" ht="14.25" x14ac:dyDescent="0.2">
      <c r="A343" s="158"/>
    </row>
    <row r="344" spans="1:1" ht="14.25" x14ac:dyDescent="0.2">
      <c r="A344" s="158"/>
    </row>
    <row r="345" spans="1:1" ht="14.25" x14ac:dyDescent="0.2">
      <c r="A345" s="158"/>
    </row>
    <row r="346" spans="1:1" ht="14.25" x14ac:dyDescent="0.2">
      <c r="A346" s="158"/>
    </row>
    <row r="347" spans="1:1" ht="14.25" x14ac:dyDescent="0.2">
      <c r="A347" s="158"/>
    </row>
    <row r="348" spans="1:1" ht="14.25" x14ac:dyDescent="0.2">
      <c r="A348" s="158"/>
    </row>
    <row r="349" spans="1:1" ht="14.25" x14ac:dyDescent="0.2">
      <c r="A349" s="158"/>
    </row>
    <row r="350" spans="1:1" ht="14.25" x14ac:dyDescent="0.2">
      <c r="A350" s="158"/>
    </row>
    <row r="351" spans="1:1" ht="14.25" x14ac:dyDescent="0.2">
      <c r="A351" s="158"/>
    </row>
    <row r="352" spans="1:1" ht="14.25" x14ac:dyDescent="0.2">
      <c r="A352" s="158"/>
    </row>
    <row r="353" spans="1:1" ht="14.25" x14ac:dyDescent="0.2">
      <c r="A353" s="158"/>
    </row>
    <row r="354" spans="1:1" ht="14.25" x14ac:dyDescent="0.2">
      <c r="A354" s="158"/>
    </row>
    <row r="355" spans="1:1" ht="14.25" x14ac:dyDescent="0.2">
      <c r="A355" s="158"/>
    </row>
    <row r="356" spans="1:1" ht="14.25" x14ac:dyDescent="0.2">
      <c r="A356" s="158"/>
    </row>
    <row r="357" spans="1:1" ht="14.25" x14ac:dyDescent="0.2">
      <c r="A357" s="158"/>
    </row>
    <row r="358" spans="1:1" ht="14.25" x14ac:dyDescent="0.2">
      <c r="A358" s="158"/>
    </row>
    <row r="359" spans="1:1" ht="14.25" x14ac:dyDescent="0.2">
      <c r="A359" s="158"/>
    </row>
    <row r="360" spans="1:1" ht="14.25" x14ac:dyDescent="0.2">
      <c r="A360" s="158"/>
    </row>
    <row r="361" spans="1:1" ht="14.25" x14ac:dyDescent="0.2">
      <c r="A361" s="158"/>
    </row>
    <row r="362" spans="1:1" ht="14.25" x14ac:dyDescent="0.2">
      <c r="A362" s="158"/>
    </row>
    <row r="363" spans="1:1" ht="14.25" x14ac:dyDescent="0.2">
      <c r="A363" s="158"/>
    </row>
    <row r="364" spans="1:1" ht="14.25" x14ac:dyDescent="0.2">
      <c r="A364" s="158"/>
    </row>
    <row r="365" spans="1:1" ht="14.25" x14ac:dyDescent="0.2">
      <c r="A365" s="158"/>
    </row>
    <row r="366" spans="1:1" ht="14.25" x14ac:dyDescent="0.2">
      <c r="A366" s="158"/>
    </row>
    <row r="367" spans="1:1" ht="14.25" x14ac:dyDescent="0.2">
      <c r="A367" s="158"/>
    </row>
    <row r="368" spans="1:1" ht="14.25" x14ac:dyDescent="0.2">
      <c r="A368" s="158"/>
    </row>
    <row r="369" spans="1:1" ht="14.25" x14ac:dyDescent="0.2">
      <c r="A369" s="158"/>
    </row>
    <row r="370" spans="1:1" ht="14.25" x14ac:dyDescent="0.2">
      <c r="A370" s="158"/>
    </row>
    <row r="371" spans="1:1" ht="14.25" x14ac:dyDescent="0.2">
      <c r="A371" s="158"/>
    </row>
    <row r="372" spans="1:1" ht="14.25" x14ac:dyDescent="0.2">
      <c r="A372" s="158"/>
    </row>
    <row r="373" spans="1:1" ht="14.25" x14ac:dyDescent="0.2">
      <c r="A373" s="158"/>
    </row>
    <row r="374" spans="1:1" ht="14.25" x14ac:dyDescent="0.2">
      <c r="A374" s="158"/>
    </row>
    <row r="375" spans="1:1" ht="14.25" x14ac:dyDescent="0.2">
      <c r="A375" s="158"/>
    </row>
    <row r="376" spans="1:1" ht="14.25" x14ac:dyDescent="0.2">
      <c r="A376" s="158"/>
    </row>
    <row r="377" spans="1:1" ht="14.25" x14ac:dyDescent="0.2">
      <c r="A377" s="158"/>
    </row>
    <row r="378" spans="1:1" ht="14.25" x14ac:dyDescent="0.2">
      <c r="A378" s="158"/>
    </row>
    <row r="379" spans="1:1" ht="14.25" x14ac:dyDescent="0.2">
      <c r="A379" s="158"/>
    </row>
    <row r="380" spans="1:1" ht="14.25" x14ac:dyDescent="0.2">
      <c r="A380" s="158"/>
    </row>
    <row r="381" spans="1:1" ht="14.25" x14ac:dyDescent="0.2">
      <c r="A381" s="158"/>
    </row>
    <row r="382" spans="1:1" ht="14.25" x14ac:dyDescent="0.2">
      <c r="A382" s="158"/>
    </row>
    <row r="383" spans="1:1" ht="14.25" x14ac:dyDescent="0.2">
      <c r="A383" s="158"/>
    </row>
    <row r="384" spans="1:1" ht="14.25" x14ac:dyDescent="0.2">
      <c r="A384" s="158"/>
    </row>
    <row r="385" spans="1:1" ht="14.25" x14ac:dyDescent="0.2">
      <c r="A385" s="158"/>
    </row>
    <row r="386" spans="1:1" ht="14.25" x14ac:dyDescent="0.2">
      <c r="A386" s="158"/>
    </row>
    <row r="387" spans="1:1" ht="14.25" x14ac:dyDescent="0.2">
      <c r="A387" s="158"/>
    </row>
    <row r="388" spans="1:1" ht="14.25" x14ac:dyDescent="0.2">
      <c r="A388" s="158"/>
    </row>
    <row r="389" spans="1:1" ht="14.25" x14ac:dyDescent="0.2">
      <c r="A389" s="158"/>
    </row>
    <row r="390" spans="1:1" ht="14.25" x14ac:dyDescent="0.2">
      <c r="A390" s="158"/>
    </row>
    <row r="391" spans="1:1" ht="14.25" x14ac:dyDescent="0.2">
      <c r="A391" s="158"/>
    </row>
    <row r="392" spans="1:1" ht="14.25" x14ac:dyDescent="0.2">
      <c r="A392" s="158"/>
    </row>
    <row r="393" spans="1:1" ht="14.25" x14ac:dyDescent="0.2">
      <c r="A393" s="158"/>
    </row>
    <row r="394" spans="1:1" ht="14.25" x14ac:dyDescent="0.2">
      <c r="A394" s="158"/>
    </row>
    <row r="395" spans="1:1" ht="14.25" x14ac:dyDescent="0.2">
      <c r="A395" s="158"/>
    </row>
    <row r="396" spans="1:1" ht="14.25" x14ac:dyDescent="0.2">
      <c r="A396" s="158"/>
    </row>
    <row r="397" spans="1:1" ht="14.25" x14ac:dyDescent="0.2">
      <c r="A397" s="158"/>
    </row>
    <row r="398" spans="1:1" ht="14.25" x14ac:dyDescent="0.2">
      <c r="A398" s="158"/>
    </row>
    <row r="399" spans="1:1" ht="14.25" x14ac:dyDescent="0.2">
      <c r="A399" s="158"/>
    </row>
    <row r="400" spans="1:1" ht="14.25" x14ac:dyDescent="0.2">
      <c r="A400" s="158"/>
    </row>
  </sheetData>
  <printOptions horizontalCentered="1"/>
  <pageMargins left="0" right="0" top="0" bottom="0" header="0.31496062992125984" footer="0.31496062992125984"/>
  <pageSetup paperSize="9" scale="8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C36" sqref="C36"/>
    </sheetView>
  </sheetViews>
  <sheetFormatPr defaultRowHeight="12.75" x14ac:dyDescent="0.2"/>
  <cols>
    <col min="1" max="1" width="20.7109375" style="13" customWidth="1"/>
    <col min="2" max="3" width="20.7109375" customWidth="1"/>
  </cols>
  <sheetData>
    <row r="1" spans="1:3" ht="20.100000000000001" customHeight="1" x14ac:dyDescent="0.2">
      <c r="A1" s="294" t="s">
        <v>219</v>
      </c>
      <c r="B1" s="295"/>
      <c r="C1" s="296"/>
    </row>
    <row r="2" spans="1:3" ht="20.100000000000001" customHeight="1" x14ac:dyDescent="0.2">
      <c r="A2" s="297" t="s">
        <v>199</v>
      </c>
      <c r="B2" s="298"/>
      <c r="C2" s="299"/>
    </row>
    <row r="3" spans="1:3" ht="20.100000000000001" customHeight="1" x14ac:dyDescent="0.2">
      <c r="A3" s="293" t="s">
        <v>250</v>
      </c>
      <c r="B3" s="298"/>
      <c r="C3" s="299"/>
    </row>
    <row r="4" spans="1:3" ht="20.100000000000001" customHeight="1" x14ac:dyDescent="0.2">
      <c r="A4" s="300" t="str">
        <f>Monthly!A4</f>
        <v xml:space="preserve"> 30th April  2021</v>
      </c>
      <c r="B4" s="298"/>
      <c r="C4" s="299"/>
    </row>
    <row r="5" spans="1:3" ht="20.100000000000001" customHeight="1" x14ac:dyDescent="0.2">
      <c r="A5" s="217"/>
      <c r="B5" s="1"/>
      <c r="C5" s="210"/>
    </row>
    <row r="6" spans="1:3" ht="20.100000000000001" customHeight="1" x14ac:dyDescent="0.2">
      <c r="A6" s="218" t="s">
        <v>45</v>
      </c>
      <c r="B6" s="1"/>
      <c r="C6" s="210"/>
    </row>
    <row r="7" spans="1:3" ht="20.100000000000001" customHeight="1" x14ac:dyDescent="0.2">
      <c r="A7" s="218"/>
      <c r="B7" s="1"/>
      <c r="C7" s="210"/>
    </row>
    <row r="8" spans="1:3" ht="20.100000000000001" customHeight="1" x14ac:dyDescent="0.2">
      <c r="A8" s="219"/>
      <c r="B8" s="1"/>
      <c r="C8" s="210"/>
    </row>
    <row r="9" spans="1:3" ht="20.100000000000001" customHeight="1" x14ac:dyDescent="0.2">
      <c r="A9" s="220" t="str">
        <f>PAYE!A8</f>
        <v>Kennisha Williams</v>
      </c>
      <c r="B9" s="208"/>
      <c r="C9" s="301">
        <f>Monthly!O8</f>
        <v>0</v>
      </c>
    </row>
    <row r="10" spans="1:3" ht="20.100000000000001" customHeight="1" x14ac:dyDescent="0.2">
      <c r="A10" s="221" t="str">
        <f>PAYE!A9</f>
        <v>Alston Prince</v>
      </c>
      <c r="B10" s="208"/>
      <c r="C10" s="302">
        <f>Monthly!O9</f>
        <v>0</v>
      </c>
    </row>
    <row r="11" spans="1:3" ht="20.100000000000001" customHeight="1" x14ac:dyDescent="0.2">
      <c r="A11" s="222" t="str">
        <f>PAYE!A10</f>
        <v>Carl Smith</v>
      </c>
      <c r="B11" s="208"/>
      <c r="C11" s="302">
        <f>Monthly!O10</f>
        <v>0</v>
      </c>
    </row>
    <row r="12" spans="1:3" ht="20.100000000000001" customHeight="1" x14ac:dyDescent="0.2">
      <c r="A12" s="222" t="str">
        <f>PAYE!A11</f>
        <v>Dexter Lett</v>
      </c>
      <c r="B12" s="208"/>
      <c r="C12" s="302">
        <f>Monthly!O11</f>
        <v>0</v>
      </c>
    </row>
    <row r="13" spans="1:3" ht="20.100000000000001" customHeight="1" x14ac:dyDescent="0.2">
      <c r="A13" s="221" t="str">
        <f>PAYE!A12</f>
        <v>Kenson Baptiste</v>
      </c>
      <c r="B13" s="208"/>
      <c r="C13" s="302">
        <f>Monthly!O12</f>
        <v>0</v>
      </c>
    </row>
    <row r="14" spans="1:3" ht="20.100000000000001" customHeight="1" x14ac:dyDescent="0.2">
      <c r="A14" s="221" t="str">
        <f>PAYE!A13</f>
        <v>Peter Alexis</v>
      </c>
      <c r="B14" s="208"/>
      <c r="C14" s="302">
        <f>Monthly!O13</f>
        <v>0</v>
      </c>
    </row>
    <row r="15" spans="1:3" ht="20.100000000000001" customHeight="1" x14ac:dyDescent="0.2">
      <c r="A15" s="221" t="str">
        <f>PAYE!A14</f>
        <v>Glenderine DeRiggs</v>
      </c>
      <c r="B15" s="208"/>
      <c r="C15" s="302">
        <f>Monthly!O14</f>
        <v>0</v>
      </c>
    </row>
    <row r="16" spans="1:3" ht="20.100000000000001" customHeight="1" x14ac:dyDescent="0.2">
      <c r="A16" s="221" t="str">
        <f>PAYE!A15</f>
        <v>Veronica Alexander</v>
      </c>
      <c r="B16" s="208"/>
      <c r="C16" s="302">
        <f>Monthly!O15</f>
        <v>0</v>
      </c>
    </row>
    <row r="17" spans="1:4" ht="20.100000000000001" customHeight="1" x14ac:dyDescent="0.2">
      <c r="A17" s="221" t="str">
        <f>PAYE!A16</f>
        <v>Norris Joseph</v>
      </c>
      <c r="B17" s="208"/>
      <c r="C17" s="302">
        <f>Monthly!O19</f>
        <v>0</v>
      </c>
    </row>
    <row r="18" spans="1:4" ht="20.100000000000001" customHeight="1" x14ac:dyDescent="0.2">
      <c r="A18" s="221" t="str">
        <f>PAYE!A17</f>
        <v>Gerald Jones</v>
      </c>
      <c r="B18" s="208"/>
      <c r="C18" s="302">
        <f>Monthly!O20</f>
        <v>0</v>
      </c>
    </row>
    <row r="19" spans="1:4" ht="20.100000000000001" customHeight="1" x14ac:dyDescent="0.2">
      <c r="A19" s="221" t="str">
        <f>PAYE!A18</f>
        <v>Oscar Elcock</v>
      </c>
      <c r="B19" s="208"/>
      <c r="C19" s="302">
        <f>Monthly!O23</f>
        <v>0</v>
      </c>
    </row>
    <row r="20" spans="1:4" ht="20.100000000000001" customHeight="1" x14ac:dyDescent="0.2">
      <c r="A20" s="222" t="str">
        <f>PAYE!A19</f>
        <v>Andris Toussaint</v>
      </c>
      <c r="B20" s="208"/>
      <c r="C20" s="302">
        <f>Monthly!O24</f>
        <v>0</v>
      </c>
    </row>
    <row r="21" spans="1:4" ht="20.100000000000001" customHeight="1" x14ac:dyDescent="0.2">
      <c r="A21" s="222" t="str">
        <f>PAYE!A20</f>
        <v>Merril Modoo</v>
      </c>
      <c r="B21" s="208"/>
      <c r="C21" s="302">
        <f>Monthly!O25</f>
        <v>0</v>
      </c>
    </row>
    <row r="22" spans="1:4" ht="20.100000000000001" customHeight="1" x14ac:dyDescent="0.2">
      <c r="A22" s="222" t="str">
        <f>PAYE!A21</f>
        <v>Onika Phillip</v>
      </c>
      <c r="B22" s="208"/>
      <c r="C22" s="302">
        <f>Monthly!O26</f>
        <v>0</v>
      </c>
    </row>
    <row r="23" spans="1:4" ht="20.100000000000001" customHeight="1" thickBot="1" x14ac:dyDescent="0.25">
      <c r="A23" s="286"/>
      <c r="B23" s="287"/>
      <c r="C23" s="303"/>
      <c r="D23" s="151"/>
    </row>
    <row r="24" spans="1:4" ht="20.100000000000001" customHeight="1" thickBot="1" x14ac:dyDescent="0.25">
      <c r="A24" s="290" t="s">
        <v>251</v>
      </c>
      <c r="B24" s="291"/>
      <c r="C24" s="304">
        <f>SUM(C9:C23)</f>
        <v>0</v>
      </c>
    </row>
    <row r="25" spans="1:4" ht="13.5" thickTop="1" x14ac:dyDescent="0.2">
      <c r="A25" s="288"/>
      <c r="B25" s="289"/>
      <c r="C25" s="292"/>
    </row>
    <row r="27" spans="1:4" x14ac:dyDescent="0.2">
      <c r="C27" s="281">
        <f>Monthly!O33</f>
        <v>0</v>
      </c>
    </row>
  </sheetData>
  <printOptions horizontalCentered="1" verticalCentered="1"/>
  <pageMargins left="0.70866141732283472" right="0.70866141732283472" top="0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890"/>
  <sheetViews>
    <sheetView tabSelected="1" view="pageBreakPreview" topLeftCell="A211" zoomScale="60" zoomScaleNormal="100" workbookViewId="0">
      <selection activeCell="D286" sqref="D286"/>
    </sheetView>
  </sheetViews>
  <sheetFormatPr defaultColWidth="9.140625" defaultRowHeight="24.95" customHeight="1" x14ac:dyDescent="0.25"/>
  <cols>
    <col min="1" max="1" width="9.140625" style="85"/>
    <col min="2" max="2" width="23.42578125" style="85" customWidth="1"/>
    <col min="3" max="3" width="20.5703125" style="85" customWidth="1"/>
    <col min="4" max="4" width="20.5703125" style="99" customWidth="1"/>
    <col min="5" max="5" width="24" style="85" customWidth="1"/>
    <col min="6" max="6" width="20.5703125" style="99" customWidth="1"/>
    <col min="7" max="7" width="20.5703125" style="85" customWidth="1"/>
    <col min="8" max="16384" width="9.140625" style="85"/>
  </cols>
  <sheetData>
    <row r="1" spans="2:7" ht="24.95" customHeight="1" thickBot="1" x14ac:dyDescent="0.3"/>
    <row r="2" spans="2:7" ht="24.95" customHeight="1" thickTop="1" thickBot="1" x14ac:dyDescent="0.3">
      <c r="B2" s="336" t="s">
        <v>184</v>
      </c>
      <c r="C2" s="336" t="s">
        <v>185</v>
      </c>
      <c r="D2" s="100"/>
      <c r="E2" s="87"/>
      <c r="F2" s="100"/>
      <c r="G2" s="88"/>
    </row>
    <row r="3" spans="2:7" ht="24.95" customHeight="1" thickTop="1" thickBot="1" x14ac:dyDescent="0.35">
      <c r="B3" s="317" t="str">
        <f>Monthly!A8</f>
        <v>Kennisha Williams</v>
      </c>
      <c r="C3" s="337" t="str">
        <f>Monthly!A4</f>
        <v xml:space="preserve"> 30th April  2021</v>
      </c>
      <c r="D3" s="101"/>
      <c r="E3" s="90"/>
      <c r="F3" s="334" t="s">
        <v>219</v>
      </c>
      <c r="G3" s="335"/>
    </row>
    <row r="4" spans="2:7" ht="24.95" customHeight="1" thickTop="1" x14ac:dyDescent="0.3">
      <c r="B4" s="92"/>
      <c r="C4" s="90"/>
      <c r="D4" s="101"/>
      <c r="E4" s="90"/>
      <c r="F4" s="334" t="s">
        <v>222</v>
      </c>
      <c r="G4" s="335"/>
    </row>
    <row r="5" spans="2:7" ht="24.95" customHeight="1" x14ac:dyDescent="0.3">
      <c r="B5" s="92"/>
      <c r="C5" s="90"/>
      <c r="D5" s="101"/>
      <c r="E5" s="90"/>
      <c r="F5" s="334" t="s">
        <v>61</v>
      </c>
      <c r="G5" s="335"/>
    </row>
    <row r="6" spans="2:7" ht="24.95" customHeight="1" x14ac:dyDescent="0.25">
      <c r="B6" s="92"/>
      <c r="C6" s="90"/>
      <c r="D6" s="101"/>
      <c r="E6" s="90"/>
      <c r="F6" s="101"/>
      <c r="G6" s="91"/>
    </row>
    <row r="7" spans="2:7" ht="24.95" customHeight="1" x14ac:dyDescent="0.25">
      <c r="B7" s="92"/>
      <c r="C7" s="90"/>
      <c r="D7" s="101"/>
      <c r="E7" s="90"/>
      <c r="F7" s="101"/>
      <c r="G7" s="91"/>
    </row>
    <row r="8" spans="2:7" ht="24.95" customHeight="1" thickBot="1" x14ac:dyDescent="0.3">
      <c r="B8" s="92"/>
      <c r="C8" s="90"/>
      <c r="D8" s="101"/>
      <c r="E8" s="90"/>
      <c r="F8" s="101"/>
      <c r="G8" s="91"/>
    </row>
    <row r="9" spans="2:7" ht="24.95" customHeight="1" thickTop="1" thickBot="1" x14ac:dyDescent="0.3">
      <c r="B9" s="92"/>
      <c r="C9" s="320" t="s">
        <v>186</v>
      </c>
      <c r="D9" s="321"/>
      <c r="E9" s="322" t="s">
        <v>187</v>
      </c>
      <c r="F9" s="323"/>
      <c r="G9" s="91"/>
    </row>
    <row r="10" spans="2:7" ht="24.95" customHeight="1" thickTop="1" x14ac:dyDescent="0.25">
      <c r="B10" s="92"/>
      <c r="C10" s="92"/>
      <c r="D10" s="103"/>
      <c r="E10" s="94"/>
      <c r="F10" s="108"/>
      <c r="G10" s="91"/>
    </row>
    <row r="11" spans="2:7" ht="24.95" customHeight="1" x14ac:dyDescent="0.35">
      <c r="B11" s="92"/>
      <c r="C11" s="324" t="s">
        <v>4</v>
      </c>
      <c r="D11" s="325">
        <f>Monthly!G8</f>
        <v>2500</v>
      </c>
      <c r="E11" s="326" t="s">
        <v>10</v>
      </c>
      <c r="F11" s="327">
        <f>Monthly!L8</f>
        <v>0</v>
      </c>
      <c r="G11" s="91"/>
    </row>
    <row r="12" spans="2:7" ht="24.95" customHeight="1" x14ac:dyDescent="0.35">
      <c r="B12" s="92"/>
      <c r="C12" s="324" t="s">
        <v>221</v>
      </c>
      <c r="D12" s="325">
        <f>Monthly!H8</f>
        <v>0</v>
      </c>
      <c r="E12" s="326" t="s">
        <v>11</v>
      </c>
      <c r="F12" s="327">
        <f>Monthly!M8</f>
        <v>125</v>
      </c>
      <c r="G12" s="91"/>
    </row>
    <row r="13" spans="2:7" ht="24.95" customHeight="1" x14ac:dyDescent="0.35">
      <c r="B13" s="92"/>
      <c r="C13" s="324" t="s">
        <v>258</v>
      </c>
      <c r="D13" s="325">
        <f>Monthly!I7</f>
        <v>0</v>
      </c>
      <c r="E13" s="326" t="s">
        <v>252</v>
      </c>
      <c r="F13" s="327">
        <f>Monthly!O8</f>
        <v>0</v>
      </c>
      <c r="G13" s="91"/>
    </row>
    <row r="14" spans="2:7" ht="24.95" customHeight="1" x14ac:dyDescent="0.35">
      <c r="B14" s="92"/>
      <c r="C14" s="324" t="s">
        <v>213</v>
      </c>
      <c r="D14" s="325">
        <f>Monthly!J8</f>
        <v>0</v>
      </c>
      <c r="E14" s="326" t="s">
        <v>259</v>
      </c>
      <c r="F14" s="327">
        <f>Monthly!N8</f>
        <v>0</v>
      </c>
      <c r="G14" s="91"/>
    </row>
    <row r="15" spans="2:7" ht="24.95" customHeight="1" thickBot="1" x14ac:dyDescent="0.4">
      <c r="B15" s="92"/>
      <c r="C15" s="328"/>
      <c r="D15" s="329"/>
      <c r="E15" s="330"/>
      <c r="F15" s="331"/>
      <c r="G15" s="91"/>
    </row>
    <row r="16" spans="2:7" ht="24.95" customHeight="1" thickTop="1" thickBot="1" x14ac:dyDescent="0.3">
      <c r="B16" s="92"/>
      <c r="C16" s="90"/>
      <c r="D16" s="101"/>
      <c r="E16" s="90"/>
      <c r="F16" s="101"/>
      <c r="G16" s="91"/>
    </row>
    <row r="17" spans="2:7" ht="24.95" customHeight="1" thickTop="1" thickBot="1" x14ac:dyDescent="0.4">
      <c r="B17" s="92"/>
      <c r="C17" s="332" t="s">
        <v>260</v>
      </c>
      <c r="D17" s="333">
        <f>SUM(D11:D15)</f>
        <v>2500</v>
      </c>
      <c r="E17" s="332" t="s">
        <v>192</v>
      </c>
      <c r="F17" s="333">
        <f>SUM(F11:F15)</f>
        <v>125</v>
      </c>
      <c r="G17" s="91"/>
    </row>
    <row r="18" spans="2:7" ht="24.95" customHeight="1" thickTop="1" x14ac:dyDescent="0.3">
      <c r="B18" s="92"/>
      <c r="C18" s="318"/>
      <c r="D18" s="319"/>
      <c r="E18" s="318"/>
      <c r="F18" s="319"/>
      <c r="G18" s="91"/>
    </row>
    <row r="19" spans="2:7" ht="24.95" customHeight="1" thickBot="1" x14ac:dyDescent="0.35">
      <c r="B19" s="92"/>
      <c r="C19" s="318"/>
      <c r="D19" s="319"/>
      <c r="E19" s="318"/>
      <c r="F19" s="319"/>
      <c r="G19" s="91"/>
    </row>
    <row r="20" spans="2:7" ht="24.95" customHeight="1" thickTop="1" thickBot="1" x14ac:dyDescent="0.4">
      <c r="B20" s="92"/>
      <c r="C20" s="332" t="s">
        <v>193</v>
      </c>
      <c r="D20" s="333">
        <f>D17-F17</f>
        <v>2375</v>
      </c>
      <c r="E20" s="318"/>
      <c r="F20" s="319"/>
      <c r="G20" s="91"/>
    </row>
    <row r="21" spans="2:7" ht="24.95" customHeight="1" thickTop="1" thickBot="1" x14ac:dyDescent="0.3">
      <c r="B21" s="95"/>
      <c r="C21" s="98"/>
      <c r="D21" s="107"/>
      <c r="E21" s="98"/>
      <c r="F21" s="107"/>
      <c r="G21" s="97"/>
    </row>
    <row r="22" spans="2:7" ht="24.95" customHeight="1" thickTop="1" x14ac:dyDescent="0.25"/>
    <row r="25" spans="2:7" ht="24.95" customHeight="1" thickBot="1" x14ac:dyDescent="0.3"/>
    <row r="26" spans="2:7" ht="24.95" customHeight="1" thickTop="1" thickBot="1" x14ac:dyDescent="0.3">
      <c r="B26" s="336" t="s">
        <v>184</v>
      </c>
      <c r="C26" s="336" t="s">
        <v>185</v>
      </c>
      <c r="D26" s="100"/>
      <c r="E26" s="87"/>
      <c r="F26" s="100"/>
      <c r="G26" s="88"/>
    </row>
    <row r="27" spans="2:7" ht="24.95" customHeight="1" thickTop="1" thickBot="1" x14ac:dyDescent="0.35">
      <c r="B27" s="317" t="str">
        <f>Monthly!A9</f>
        <v>Alston Prince</v>
      </c>
      <c r="C27" s="337" t="str">
        <f>Monthly!A4</f>
        <v xml:space="preserve"> 30th April  2021</v>
      </c>
      <c r="D27" s="101"/>
      <c r="E27" s="90"/>
      <c r="F27" s="334" t="s">
        <v>219</v>
      </c>
      <c r="G27" s="335"/>
    </row>
    <row r="28" spans="2:7" ht="24.95" customHeight="1" thickTop="1" x14ac:dyDescent="0.3">
      <c r="B28" s="92"/>
      <c r="C28" s="90"/>
      <c r="D28" s="101"/>
      <c r="E28" s="90"/>
      <c r="F28" s="334" t="s">
        <v>222</v>
      </c>
      <c r="G28" s="335"/>
    </row>
    <row r="29" spans="2:7" ht="24.95" customHeight="1" x14ac:dyDescent="0.3">
      <c r="B29" s="92"/>
      <c r="C29" s="90"/>
      <c r="D29" s="101"/>
      <c r="E29" s="90"/>
      <c r="F29" s="334" t="s">
        <v>61</v>
      </c>
      <c r="G29" s="335"/>
    </row>
    <row r="30" spans="2:7" ht="24.95" customHeight="1" x14ac:dyDescent="0.25">
      <c r="B30" s="92"/>
      <c r="C30" s="90"/>
      <c r="D30" s="101"/>
      <c r="E30" s="90"/>
      <c r="F30" s="101"/>
      <c r="G30" s="91"/>
    </row>
    <row r="31" spans="2:7" ht="24.95" customHeight="1" x14ac:dyDescent="0.25">
      <c r="B31" s="92"/>
      <c r="C31" s="90"/>
      <c r="D31" s="101"/>
      <c r="E31" s="90"/>
      <c r="F31" s="101"/>
      <c r="G31" s="91"/>
    </row>
    <row r="32" spans="2:7" ht="24.95" customHeight="1" thickBot="1" x14ac:dyDescent="0.3">
      <c r="B32" s="92"/>
      <c r="C32" s="90"/>
      <c r="D32" s="101"/>
      <c r="E32" s="90"/>
      <c r="F32" s="101"/>
      <c r="G32" s="91"/>
    </row>
    <row r="33" spans="2:7" ht="24.95" customHeight="1" thickTop="1" thickBot="1" x14ac:dyDescent="0.3">
      <c r="B33" s="92"/>
      <c r="C33" s="320" t="s">
        <v>186</v>
      </c>
      <c r="D33" s="321"/>
      <c r="E33" s="322" t="s">
        <v>187</v>
      </c>
      <c r="F33" s="323"/>
      <c r="G33" s="91"/>
    </row>
    <row r="34" spans="2:7" ht="24.95" customHeight="1" thickTop="1" x14ac:dyDescent="0.25">
      <c r="B34" s="92"/>
      <c r="C34" s="92"/>
      <c r="D34" s="103"/>
      <c r="E34" s="94"/>
      <c r="F34" s="108"/>
      <c r="G34" s="91"/>
    </row>
    <row r="35" spans="2:7" ht="24.95" customHeight="1" x14ac:dyDescent="0.35">
      <c r="B35" s="92"/>
      <c r="C35" s="324" t="s">
        <v>4</v>
      </c>
      <c r="D35" s="325">
        <f>Monthly!G9</f>
        <v>1815.44</v>
      </c>
      <c r="E35" s="326" t="s">
        <v>10</v>
      </c>
      <c r="F35" s="327">
        <f>Monthly!L9</f>
        <v>0</v>
      </c>
      <c r="G35" s="91"/>
    </row>
    <row r="36" spans="2:7" ht="24.95" customHeight="1" x14ac:dyDescent="0.35">
      <c r="B36" s="92"/>
      <c r="C36" s="324" t="s">
        <v>221</v>
      </c>
      <c r="D36" s="325">
        <f>Monthly!H9</f>
        <v>0</v>
      </c>
      <c r="E36" s="326" t="s">
        <v>11</v>
      </c>
      <c r="F36" s="327">
        <f>Monthly!M9</f>
        <v>90.77</v>
      </c>
      <c r="G36" s="91"/>
    </row>
    <row r="37" spans="2:7" ht="24.95" customHeight="1" x14ac:dyDescent="0.35">
      <c r="B37" s="92"/>
      <c r="C37" s="324" t="s">
        <v>258</v>
      </c>
      <c r="D37" s="325">
        <f>Monthly!I9</f>
        <v>0</v>
      </c>
      <c r="E37" s="326" t="s">
        <v>252</v>
      </c>
      <c r="F37" s="327">
        <f>Monthly!N9</f>
        <v>0</v>
      </c>
      <c r="G37" s="91"/>
    </row>
    <row r="38" spans="2:7" ht="24.95" customHeight="1" x14ac:dyDescent="0.35">
      <c r="B38" s="92"/>
      <c r="C38" s="324" t="s">
        <v>213</v>
      </c>
      <c r="D38" s="325">
        <f>Monthly!J9</f>
        <v>0</v>
      </c>
      <c r="E38" s="326" t="s">
        <v>259</v>
      </c>
      <c r="F38" s="327">
        <f>Monthly!O9</f>
        <v>0</v>
      </c>
      <c r="G38" s="91"/>
    </row>
    <row r="39" spans="2:7" ht="24.95" customHeight="1" thickBot="1" x14ac:dyDescent="0.4">
      <c r="B39" s="92"/>
      <c r="C39" s="95"/>
      <c r="D39" s="105"/>
      <c r="E39" s="338" t="s">
        <v>8</v>
      </c>
      <c r="F39" s="110">
        <f>Monthly!O11</f>
        <v>0</v>
      </c>
      <c r="G39" s="91"/>
    </row>
    <row r="40" spans="2:7" ht="24.95" customHeight="1" thickTop="1" thickBot="1" x14ac:dyDescent="0.3">
      <c r="B40" s="92"/>
      <c r="C40" s="90"/>
      <c r="D40" s="101"/>
      <c r="E40" s="90"/>
      <c r="F40" s="101"/>
      <c r="G40" s="91"/>
    </row>
    <row r="41" spans="2:7" ht="24.95" customHeight="1" thickTop="1" thickBot="1" x14ac:dyDescent="0.4">
      <c r="B41" s="92"/>
      <c r="C41" s="332" t="s">
        <v>261</v>
      </c>
      <c r="D41" s="333">
        <f>SUM(D35:D39)</f>
        <v>1815.44</v>
      </c>
      <c r="E41" s="332" t="s">
        <v>192</v>
      </c>
      <c r="F41" s="333">
        <f>SUM(F35:F39)</f>
        <v>90.77</v>
      </c>
      <c r="G41" s="91"/>
    </row>
    <row r="42" spans="2:7" ht="24.95" customHeight="1" thickTop="1" x14ac:dyDescent="0.3">
      <c r="B42" s="92"/>
      <c r="C42" s="318"/>
      <c r="D42" s="319"/>
      <c r="E42" s="318"/>
      <c r="F42" s="319"/>
      <c r="G42" s="91"/>
    </row>
    <row r="43" spans="2:7" ht="24.95" customHeight="1" thickBot="1" x14ac:dyDescent="0.35">
      <c r="B43" s="92"/>
      <c r="C43" s="318"/>
      <c r="D43" s="319"/>
      <c r="E43" s="318"/>
      <c r="F43" s="319"/>
      <c r="G43" s="91"/>
    </row>
    <row r="44" spans="2:7" ht="24.95" customHeight="1" thickTop="1" thickBot="1" x14ac:dyDescent="0.4">
      <c r="B44" s="92"/>
      <c r="C44" s="332" t="s">
        <v>193</v>
      </c>
      <c r="D44" s="333">
        <f>D41-F41</f>
        <v>1724.67</v>
      </c>
      <c r="E44" s="318"/>
      <c r="F44" s="319"/>
      <c r="G44" s="91"/>
    </row>
    <row r="45" spans="2:7" ht="24.95" customHeight="1" thickTop="1" thickBot="1" x14ac:dyDescent="0.3">
      <c r="B45" s="95"/>
      <c r="C45" s="98"/>
      <c r="D45" s="107"/>
      <c r="E45" s="98"/>
      <c r="F45" s="107"/>
      <c r="G45" s="97"/>
    </row>
    <row r="46" spans="2:7" ht="24.95" customHeight="1" thickTop="1" x14ac:dyDescent="0.25"/>
    <row r="49" spans="2:7" ht="24.95" customHeight="1" thickBot="1" x14ac:dyDescent="0.3"/>
    <row r="50" spans="2:7" ht="24.95" customHeight="1" thickTop="1" thickBot="1" x14ac:dyDescent="0.3">
      <c r="B50" s="336" t="s">
        <v>184</v>
      </c>
      <c r="C50" s="336" t="s">
        <v>185</v>
      </c>
      <c r="D50" s="100"/>
      <c r="E50" s="87"/>
      <c r="F50" s="100"/>
      <c r="G50" s="88"/>
    </row>
    <row r="51" spans="2:7" ht="24.95" customHeight="1" thickTop="1" thickBot="1" x14ac:dyDescent="0.35">
      <c r="B51" s="317" t="str">
        <f>Monthly!A10</f>
        <v>Carl Smith</v>
      </c>
      <c r="C51" s="337" t="str">
        <f>Monthly!A4</f>
        <v xml:space="preserve"> 30th April  2021</v>
      </c>
      <c r="D51" s="101"/>
      <c r="E51" s="90"/>
      <c r="F51" s="334" t="s">
        <v>219</v>
      </c>
      <c r="G51" s="335"/>
    </row>
    <row r="52" spans="2:7" ht="24.95" customHeight="1" thickTop="1" x14ac:dyDescent="0.3">
      <c r="B52" s="92"/>
      <c r="C52" s="90"/>
      <c r="D52" s="101"/>
      <c r="E52" s="90"/>
      <c r="F52" s="334" t="s">
        <v>222</v>
      </c>
      <c r="G52" s="335"/>
    </row>
    <row r="53" spans="2:7" ht="24.95" customHeight="1" x14ac:dyDescent="0.3">
      <c r="B53" s="92"/>
      <c r="C53" s="90"/>
      <c r="D53" s="101"/>
      <c r="E53" s="90"/>
      <c r="F53" s="334" t="s">
        <v>61</v>
      </c>
      <c r="G53" s="335"/>
    </row>
    <row r="54" spans="2:7" ht="24.95" customHeight="1" x14ac:dyDescent="0.25">
      <c r="B54" s="92"/>
      <c r="C54" s="90"/>
      <c r="D54" s="101"/>
      <c r="E54" s="90"/>
      <c r="F54" s="101"/>
      <c r="G54" s="91"/>
    </row>
    <row r="55" spans="2:7" ht="24.95" customHeight="1" x14ac:dyDescent="0.25">
      <c r="B55" s="92"/>
      <c r="C55" s="90"/>
      <c r="D55" s="101"/>
      <c r="E55" s="90"/>
      <c r="F55" s="101"/>
      <c r="G55" s="91"/>
    </row>
    <row r="56" spans="2:7" ht="24.95" customHeight="1" thickBot="1" x14ac:dyDescent="0.3">
      <c r="B56" s="92"/>
      <c r="C56" s="90"/>
      <c r="D56" s="101"/>
      <c r="E56" s="90"/>
      <c r="F56" s="101"/>
      <c r="G56" s="91"/>
    </row>
    <row r="57" spans="2:7" ht="24.95" customHeight="1" thickTop="1" thickBot="1" x14ac:dyDescent="0.3">
      <c r="B57" s="92"/>
      <c r="C57" s="320" t="s">
        <v>186</v>
      </c>
      <c r="D57" s="321"/>
      <c r="E57" s="322" t="s">
        <v>187</v>
      </c>
      <c r="F57" s="323"/>
      <c r="G57" s="91"/>
    </row>
    <row r="58" spans="2:7" ht="24.95" customHeight="1" thickTop="1" x14ac:dyDescent="0.25">
      <c r="B58" s="92"/>
      <c r="C58" s="92"/>
      <c r="D58" s="103"/>
      <c r="E58" s="94"/>
      <c r="F58" s="108"/>
      <c r="G58" s="91"/>
    </row>
    <row r="59" spans="2:7" ht="24.95" customHeight="1" x14ac:dyDescent="0.35">
      <c r="B59" s="92"/>
      <c r="C59" s="324" t="s">
        <v>4</v>
      </c>
      <c r="D59" s="325">
        <f>Monthly!G10</f>
        <v>1591.2</v>
      </c>
      <c r="E59" s="326" t="s">
        <v>10</v>
      </c>
      <c r="F59" s="327">
        <f>Monthly!L10</f>
        <v>0</v>
      </c>
      <c r="G59" s="91"/>
    </row>
    <row r="60" spans="2:7" ht="24.95" customHeight="1" x14ac:dyDescent="0.35">
      <c r="B60" s="92"/>
      <c r="C60" s="324" t="s">
        <v>221</v>
      </c>
      <c r="D60" s="325">
        <f>Monthly!H10</f>
        <v>0</v>
      </c>
      <c r="E60" s="326" t="s">
        <v>11</v>
      </c>
      <c r="F60" s="327">
        <f>Monthly!M10</f>
        <v>79.56</v>
      </c>
      <c r="G60" s="91"/>
    </row>
    <row r="61" spans="2:7" ht="24.95" customHeight="1" x14ac:dyDescent="0.35">
      <c r="B61" s="92"/>
      <c r="C61" s="324" t="s">
        <v>258</v>
      </c>
      <c r="D61" s="325">
        <f>Monthly!I10</f>
        <v>0</v>
      </c>
      <c r="E61" s="326" t="s">
        <v>252</v>
      </c>
      <c r="F61" s="327">
        <f>Monthly!N10</f>
        <v>25</v>
      </c>
      <c r="G61" s="91"/>
    </row>
    <row r="62" spans="2:7" ht="24.95" customHeight="1" x14ac:dyDescent="0.35">
      <c r="B62" s="92"/>
      <c r="C62" s="324" t="s">
        <v>213</v>
      </c>
      <c r="D62" s="325">
        <f>Monthly!J10</f>
        <v>0</v>
      </c>
      <c r="E62" s="326" t="s">
        <v>259</v>
      </c>
      <c r="F62" s="327">
        <f>Monthly!O10</f>
        <v>0</v>
      </c>
      <c r="G62" s="91"/>
    </row>
    <row r="63" spans="2:7" ht="24.95" customHeight="1" thickBot="1" x14ac:dyDescent="0.4">
      <c r="B63" s="92"/>
      <c r="C63" s="95"/>
      <c r="D63" s="105"/>
      <c r="E63" s="326" t="s">
        <v>8</v>
      </c>
      <c r="F63" s="110">
        <f>Monthly!O21</f>
        <v>0</v>
      </c>
      <c r="G63" s="91"/>
    </row>
    <row r="64" spans="2:7" ht="24.95" customHeight="1" thickTop="1" thickBot="1" x14ac:dyDescent="0.3">
      <c r="B64" s="92"/>
      <c r="C64" s="90"/>
      <c r="D64" s="101"/>
      <c r="E64" s="90"/>
      <c r="F64" s="101"/>
      <c r="G64" s="91"/>
    </row>
    <row r="65" spans="2:7" ht="24.95" customHeight="1" thickTop="1" thickBot="1" x14ac:dyDescent="0.4">
      <c r="B65" s="92"/>
      <c r="C65" s="332" t="s">
        <v>261</v>
      </c>
      <c r="D65" s="333">
        <f>SUM(D59:D63)</f>
        <v>1591.2</v>
      </c>
      <c r="E65" s="332" t="s">
        <v>192</v>
      </c>
      <c r="F65" s="333">
        <f>SUM(F59:F63)</f>
        <v>104.56</v>
      </c>
      <c r="G65" s="91"/>
    </row>
    <row r="66" spans="2:7" ht="24.95" customHeight="1" thickTop="1" x14ac:dyDescent="0.3">
      <c r="B66" s="92"/>
      <c r="C66" s="318"/>
      <c r="D66" s="319"/>
      <c r="E66" s="318"/>
      <c r="F66" s="319"/>
      <c r="G66" s="91"/>
    </row>
    <row r="67" spans="2:7" ht="24.95" customHeight="1" thickBot="1" x14ac:dyDescent="0.35">
      <c r="B67" s="92"/>
      <c r="C67" s="318"/>
      <c r="D67" s="319"/>
      <c r="E67" s="318"/>
      <c r="F67" s="319"/>
      <c r="G67" s="91"/>
    </row>
    <row r="68" spans="2:7" ht="24.95" customHeight="1" thickTop="1" thickBot="1" x14ac:dyDescent="0.4">
      <c r="B68" s="92"/>
      <c r="C68" s="332" t="s">
        <v>193</v>
      </c>
      <c r="D68" s="333">
        <f>D65-F65</f>
        <v>1486.64</v>
      </c>
      <c r="E68" s="318"/>
      <c r="F68" s="319"/>
      <c r="G68" s="91"/>
    </row>
    <row r="69" spans="2:7" ht="24.95" customHeight="1" thickTop="1" thickBot="1" x14ac:dyDescent="0.3">
      <c r="B69" s="95"/>
      <c r="C69" s="98"/>
      <c r="D69" s="107"/>
      <c r="E69" s="98"/>
      <c r="F69" s="107"/>
      <c r="G69" s="97"/>
    </row>
    <row r="70" spans="2:7" ht="24.95" customHeight="1" thickTop="1" x14ac:dyDescent="0.25"/>
    <row r="73" spans="2:7" ht="24.95" customHeight="1" thickBot="1" x14ac:dyDescent="0.3"/>
    <row r="74" spans="2:7" ht="24.95" customHeight="1" thickTop="1" thickBot="1" x14ac:dyDescent="0.3">
      <c r="B74" s="336" t="s">
        <v>184</v>
      </c>
      <c r="C74" s="336" t="s">
        <v>185</v>
      </c>
      <c r="D74" s="100"/>
      <c r="E74" s="87"/>
      <c r="F74" s="100"/>
      <c r="G74" s="88"/>
    </row>
    <row r="75" spans="2:7" ht="24.95" customHeight="1" thickTop="1" thickBot="1" x14ac:dyDescent="0.35">
      <c r="B75" s="317" t="str">
        <f>Monthly!A11</f>
        <v>Dexter Lett</v>
      </c>
      <c r="C75" s="337" t="str">
        <f>Monthly!A4</f>
        <v xml:space="preserve"> 30th April  2021</v>
      </c>
      <c r="D75" s="101"/>
      <c r="E75" s="90"/>
      <c r="F75" s="334" t="s">
        <v>219</v>
      </c>
      <c r="G75" s="335"/>
    </row>
    <row r="76" spans="2:7" ht="24.95" customHeight="1" thickTop="1" x14ac:dyDescent="0.3">
      <c r="B76" s="92"/>
      <c r="C76" s="90"/>
      <c r="D76" s="101"/>
      <c r="E76" s="90"/>
      <c r="F76" s="334" t="s">
        <v>222</v>
      </c>
      <c r="G76" s="335"/>
    </row>
    <row r="77" spans="2:7" ht="24.95" customHeight="1" x14ac:dyDescent="0.3">
      <c r="B77" s="92"/>
      <c r="C77" s="90"/>
      <c r="D77" s="101"/>
      <c r="E77" s="90"/>
      <c r="F77" s="334" t="s">
        <v>61</v>
      </c>
      <c r="G77" s="335"/>
    </row>
    <row r="78" spans="2:7" ht="24.95" customHeight="1" x14ac:dyDescent="0.25">
      <c r="B78" s="92"/>
      <c r="C78" s="90"/>
      <c r="D78" s="101"/>
      <c r="E78" s="90"/>
      <c r="F78" s="101"/>
      <c r="G78" s="91"/>
    </row>
    <row r="79" spans="2:7" ht="24.95" customHeight="1" x14ac:dyDescent="0.25">
      <c r="B79" s="92"/>
      <c r="C79" s="90"/>
      <c r="D79" s="101"/>
      <c r="E79" s="90"/>
      <c r="F79" s="101"/>
      <c r="G79" s="91"/>
    </row>
    <row r="80" spans="2:7" ht="24.95" customHeight="1" thickBot="1" x14ac:dyDescent="0.3">
      <c r="B80" s="92"/>
      <c r="C80" s="90"/>
      <c r="D80" s="101"/>
      <c r="E80" s="90"/>
      <c r="F80" s="101"/>
      <c r="G80" s="91"/>
    </row>
    <row r="81" spans="2:7" ht="24.95" customHeight="1" thickTop="1" thickBot="1" x14ac:dyDescent="0.3">
      <c r="B81" s="92"/>
      <c r="C81" s="320" t="s">
        <v>186</v>
      </c>
      <c r="D81" s="321"/>
      <c r="E81" s="322" t="s">
        <v>187</v>
      </c>
      <c r="F81" s="323"/>
      <c r="G81" s="91"/>
    </row>
    <row r="82" spans="2:7" ht="24.95" customHeight="1" thickTop="1" x14ac:dyDescent="0.25">
      <c r="B82" s="92"/>
      <c r="C82" s="92"/>
      <c r="D82" s="103"/>
      <c r="E82" s="94"/>
      <c r="F82" s="108"/>
      <c r="G82" s="91"/>
    </row>
    <row r="83" spans="2:7" ht="24.95" customHeight="1" x14ac:dyDescent="0.35">
      <c r="B83" s="92"/>
      <c r="C83" s="324" t="s">
        <v>4</v>
      </c>
      <c r="D83" s="325">
        <f>Monthly!G11</f>
        <v>1200</v>
      </c>
      <c r="E83" s="326" t="s">
        <v>10</v>
      </c>
      <c r="F83" s="327">
        <f>Monthly!L11</f>
        <v>0</v>
      </c>
      <c r="G83" s="91"/>
    </row>
    <row r="84" spans="2:7" ht="24.95" customHeight="1" x14ac:dyDescent="0.35">
      <c r="B84" s="92"/>
      <c r="C84" s="324" t="s">
        <v>221</v>
      </c>
      <c r="D84" s="325">
        <f>Monthly!H11</f>
        <v>0</v>
      </c>
      <c r="E84" s="326" t="s">
        <v>11</v>
      </c>
      <c r="F84" s="327">
        <f>Monthly!M11</f>
        <v>60</v>
      </c>
      <c r="G84" s="91"/>
    </row>
    <row r="85" spans="2:7" ht="24.95" customHeight="1" x14ac:dyDescent="0.35">
      <c r="B85" s="92"/>
      <c r="C85" s="324" t="s">
        <v>258</v>
      </c>
      <c r="D85" s="325">
        <f>Monthly!I11</f>
        <v>0</v>
      </c>
      <c r="E85" s="326" t="s">
        <v>252</v>
      </c>
      <c r="F85" s="327">
        <f>Monthly!N11</f>
        <v>0</v>
      </c>
      <c r="G85" s="91"/>
    </row>
    <row r="86" spans="2:7" ht="24.95" customHeight="1" x14ac:dyDescent="0.35">
      <c r="B86" s="92"/>
      <c r="C86" s="324" t="s">
        <v>213</v>
      </c>
      <c r="D86" s="325">
        <f>Monthly!J11</f>
        <v>0</v>
      </c>
      <c r="E86" s="326" t="s">
        <v>259</v>
      </c>
      <c r="F86" s="327">
        <f>Monthly!O11</f>
        <v>0</v>
      </c>
      <c r="G86" s="91"/>
    </row>
    <row r="87" spans="2:7" ht="24.95" customHeight="1" thickBot="1" x14ac:dyDescent="0.4">
      <c r="B87" s="92"/>
      <c r="C87" s="95"/>
      <c r="D87" s="105"/>
      <c r="E87" s="330" t="s">
        <v>8</v>
      </c>
      <c r="F87" s="110">
        <f>Monthly!O13</f>
        <v>0</v>
      </c>
      <c r="G87" s="91"/>
    </row>
    <row r="88" spans="2:7" ht="24.95" customHeight="1" thickTop="1" thickBot="1" x14ac:dyDescent="0.3">
      <c r="B88" s="92"/>
      <c r="C88" s="90"/>
      <c r="D88" s="101"/>
      <c r="E88" s="90"/>
      <c r="F88" s="101"/>
      <c r="G88" s="91"/>
    </row>
    <row r="89" spans="2:7" ht="24.95" customHeight="1" thickTop="1" thickBot="1" x14ac:dyDescent="0.4">
      <c r="B89" s="92"/>
      <c r="C89" s="332" t="s">
        <v>261</v>
      </c>
      <c r="D89" s="333">
        <f>SUM(D83:D87)</f>
        <v>1200</v>
      </c>
      <c r="E89" s="332" t="s">
        <v>192</v>
      </c>
      <c r="F89" s="333">
        <f>SUM(F83:F87)</f>
        <v>60</v>
      </c>
      <c r="G89" s="91"/>
    </row>
    <row r="90" spans="2:7" ht="24.95" customHeight="1" thickTop="1" x14ac:dyDescent="0.3">
      <c r="B90" s="92"/>
      <c r="C90" s="318"/>
      <c r="D90" s="319"/>
      <c r="E90" s="318"/>
      <c r="F90" s="319"/>
      <c r="G90" s="91"/>
    </row>
    <row r="91" spans="2:7" ht="24.95" customHeight="1" thickBot="1" x14ac:dyDescent="0.35">
      <c r="B91" s="92"/>
      <c r="C91" s="318"/>
      <c r="D91" s="319"/>
      <c r="E91" s="318"/>
      <c r="F91" s="319"/>
      <c r="G91" s="91"/>
    </row>
    <row r="92" spans="2:7" ht="24.95" customHeight="1" thickTop="1" thickBot="1" x14ac:dyDescent="0.4">
      <c r="B92" s="92"/>
      <c r="C92" s="332" t="s">
        <v>193</v>
      </c>
      <c r="D92" s="333">
        <f>D89-F89</f>
        <v>1140</v>
      </c>
      <c r="E92" s="318"/>
      <c r="F92" s="319"/>
      <c r="G92" s="91"/>
    </row>
    <row r="93" spans="2:7" ht="24.95" customHeight="1" thickTop="1" thickBot="1" x14ac:dyDescent="0.3">
      <c r="B93" s="95"/>
      <c r="C93" s="98"/>
      <c r="D93" s="107"/>
      <c r="E93" s="98"/>
      <c r="F93" s="107"/>
      <c r="G93" s="97"/>
    </row>
    <row r="94" spans="2:7" ht="24.95" customHeight="1" thickTop="1" x14ac:dyDescent="0.25"/>
    <row r="97" spans="2:7" ht="24.95" customHeight="1" thickBot="1" x14ac:dyDescent="0.3"/>
    <row r="98" spans="2:7" ht="24.95" customHeight="1" thickTop="1" thickBot="1" x14ac:dyDescent="0.3">
      <c r="B98" s="336" t="s">
        <v>184</v>
      </c>
      <c r="C98" s="336" t="s">
        <v>185</v>
      </c>
      <c r="D98" s="100"/>
      <c r="E98" s="87"/>
      <c r="F98" s="100"/>
      <c r="G98" s="88"/>
    </row>
    <row r="99" spans="2:7" ht="24.95" customHeight="1" thickTop="1" thickBot="1" x14ac:dyDescent="0.35">
      <c r="B99" s="317" t="str">
        <f>Monthly!A12</f>
        <v>Kenson Baptiste</v>
      </c>
      <c r="C99" s="337" t="str">
        <f>Monthly!A4</f>
        <v xml:space="preserve"> 30th April  2021</v>
      </c>
      <c r="D99" s="101"/>
      <c r="E99" s="90"/>
      <c r="F99" s="334" t="s">
        <v>219</v>
      </c>
      <c r="G99" s="335"/>
    </row>
    <row r="100" spans="2:7" ht="24.95" customHeight="1" thickTop="1" x14ac:dyDescent="0.3">
      <c r="B100" s="92"/>
      <c r="C100" s="90"/>
      <c r="D100" s="101"/>
      <c r="E100" s="90"/>
      <c r="F100" s="334" t="s">
        <v>222</v>
      </c>
      <c r="G100" s="335"/>
    </row>
    <row r="101" spans="2:7" ht="24.95" customHeight="1" x14ac:dyDescent="0.3">
      <c r="B101" s="92"/>
      <c r="C101" s="90"/>
      <c r="D101" s="101"/>
      <c r="E101" s="90"/>
      <c r="F101" s="334" t="s">
        <v>61</v>
      </c>
      <c r="G101" s="335"/>
    </row>
    <row r="102" spans="2:7" ht="24.95" customHeight="1" x14ac:dyDescent="0.25">
      <c r="B102" s="92"/>
      <c r="C102" s="90"/>
      <c r="D102" s="101"/>
      <c r="E102" s="90"/>
      <c r="F102" s="101"/>
      <c r="G102" s="91"/>
    </row>
    <row r="103" spans="2:7" ht="24.95" customHeight="1" x14ac:dyDescent="0.25">
      <c r="B103" s="92"/>
      <c r="C103" s="90"/>
      <c r="D103" s="101"/>
      <c r="E103" s="90"/>
      <c r="F103" s="101"/>
      <c r="G103" s="91"/>
    </row>
    <row r="104" spans="2:7" ht="24.95" customHeight="1" thickBot="1" x14ac:dyDescent="0.3">
      <c r="B104" s="92"/>
      <c r="C104" s="90"/>
      <c r="D104" s="101"/>
      <c r="E104" s="90"/>
      <c r="F104" s="101"/>
      <c r="G104" s="91"/>
    </row>
    <row r="105" spans="2:7" ht="24.95" customHeight="1" thickTop="1" thickBot="1" x14ac:dyDescent="0.3">
      <c r="B105" s="92"/>
      <c r="C105" s="320" t="s">
        <v>186</v>
      </c>
      <c r="D105" s="321"/>
      <c r="E105" s="322" t="s">
        <v>187</v>
      </c>
      <c r="F105" s="323"/>
      <c r="G105" s="91"/>
    </row>
    <row r="106" spans="2:7" ht="24.95" customHeight="1" thickTop="1" x14ac:dyDescent="0.25">
      <c r="B106" s="92"/>
      <c r="C106" s="92"/>
      <c r="D106" s="103"/>
      <c r="E106" s="94"/>
      <c r="F106" s="108"/>
      <c r="G106" s="91"/>
    </row>
    <row r="107" spans="2:7" ht="24.95" customHeight="1" x14ac:dyDescent="0.35">
      <c r="B107" s="92"/>
      <c r="C107" s="324" t="s">
        <v>4</v>
      </c>
      <c r="D107" s="325">
        <f>Monthly!G12</f>
        <v>1000</v>
      </c>
      <c r="E107" s="326" t="s">
        <v>10</v>
      </c>
      <c r="F107" s="327">
        <f>Monthly!L12</f>
        <v>0</v>
      </c>
      <c r="G107" s="91"/>
    </row>
    <row r="108" spans="2:7" ht="24.95" customHeight="1" x14ac:dyDescent="0.35">
      <c r="B108" s="92"/>
      <c r="C108" s="324" t="s">
        <v>221</v>
      </c>
      <c r="D108" s="325">
        <f>Monthly!H12</f>
        <v>0</v>
      </c>
      <c r="E108" s="326" t="s">
        <v>11</v>
      </c>
      <c r="F108" s="327">
        <f>Monthly!M12</f>
        <v>50</v>
      </c>
      <c r="G108" s="91"/>
    </row>
    <row r="109" spans="2:7" ht="24.95" customHeight="1" x14ac:dyDescent="0.35">
      <c r="B109" s="92"/>
      <c r="C109" s="324" t="s">
        <v>258</v>
      </c>
      <c r="D109" s="325">
        <f>Monthly!I12</f>
        <v>0</v>
      </c>
      <c r="E109" s="326" t="s">
        <v>252</v>
      </c>
      <c r="F109" s="327">
        <f>Monthly!N12</f>
        <v>0</v>
      </c>
      <c r="G109" s="91"/>
    </row>
    <row r="110" spans="2:7" ht="24.95" customHeight="1" x14ac:dyDescent="0.35">
      <c r="B110" s="92"/>
      <c r="C110" s="324" t="s">
        <v>213</v>
      </c>
      <c r="D110" s="325">
        <f>Monthly!J12</f>
        <v>0</v>
      </c>
      <c r="E110" s="326" t="s">
        <v>259</v>
      </c>
      <c r="F110" s="327">
        <f>Monthly!O12</f>
        <v>0</v>
      </c>
      <c r="G110" s="91"/>
    </row>
    <row r="111" spans="2:7" ht="24.95" customHeight="1" thickBot="1" x14ac:dyDescent="0.3">
      <c r="B111" s="92"/>
      <c r="C111" s="95"/>
      <c r="D111" s="105"/>
      <c r="E111" s="96"/>
      <c r="F111" s="110"/>
      <c r="G111" s="91"/>
    </row>
    <row r="112" spans="2:7" ht="24.95" customHeight="1" thickTop="1" thickBot="1" x14ac:dyDescent="0.3">
      <c r="B112" s="92"/>
      <c r="C112" s="90"/>
      <c r="D112" s="101"/>
      <c r="E112" s="90"/>
      <c r="F112" s="101"/>
      <c r="G112" s="91"/>
    </row>
    <row r="113" spans="2:7" ht="24.95" customHeight="1" thickTop="1" thickBot="1" x14ac:dyDescent="0.4">
      <c r="B113" s="92"/>
      <c r="C113" s="332" t="s">
        <v>261</v>
      </c>
      <c r="D113" s="333">
        <f>SUM(D107:D111)</f>
        <v>1000</v>
      </c>
      <c r="E113" s="332" t="s">
        <v>192</v>
      </c>
      <c r="F113" s="333">
        <f>SUM(F107:F111)</f>
        <v>50</v>
      </c>
      <c r="G113" s="91"/>
    </row>
    <row r="114" spans="2:7" ht="24.95" customHeight="1" thickTop="1" x14ac:dyDescent="0.3">
      <c r="B114" s="92"/>
      <c r="C114" s="318"/>
      <c r="D114" s="319"/>
      <c r="E114" s="318"/>
      <c r="F114" s="319"/>
      <c r="G114" s="91"/>
    </row>
    <row r="115" spans="2:7" ht="24.95" customHeight="1" thickBot="1" x14ac:dyDescent="0.35">
      <c r="B115" s="92"/>
      <c r="C115" s="318"/>
      <c r="D115" s="319"/>
      <c r="E115" s="318"/>
      <c r="F115" s="319"/>
      <c r="G115" s="91"/>
    </row>
    <row r="116" spans="2:7" ht="24.95" customHeight="1" thickTop="1" thickBot="1" x14ac:dyDescent="0.4">
      <c r="B116" s="92"/>
      <c r="C116" s="332" t="s">
        <v>193</v>
      </c>
      <c r="D116" s="333">
        <f>D113-F113</f>
        <v>950</v>
      </c>
      <c r="E116" s="318"/>
      <c r="F116" s="319"/>
      <c r="G116" s="91"/>
    </row>
    <row r="117" spans="2:7" ht="24.95" customHeight="1" thickTop="1" thickBot="1" x14ac:dyDescent="0.3">
      <c r="B117" s="95"/>
      <c r="C117" s="98"/>
      <c r="D117" s="107"/>
      <c r="E117" s="98"/>
      <c r="F117" s="107"/>
      <c r="G117" s="97"/>
    </row>
    <row r="118" spans="2:7" ht="24.95" customHeight="1" thickTop="1" x14ac:dyDescent="0.25"/>
    <row r="121" spans="2:7" ht="24.95" customHeight="1" thickBot="1" x14ac:dyDescent="0.3"/>
    <row r="122" spans="2:7" ht="24.95" customHeight="1" thickTop="1" thickBot="1" x14ac:dyDescent="0.3">
      <c r="B122" s="336" t="s">
        <v>184</v>
      </c>
      <c r="C122" s="336" t="s">
        <v>185</v>
      </c>
      <c r="D122" s="100"/>
      <c r="E122" s="87"/>
      <c r="F122" s="100"/>
      <c r="G122" s="88"/>
    </row>
    <row r="123" spans="2:7" ht="24.95" customHeight="1" thickTop="1" thickBot="1" x14ac:dyDescent="0.35">
      <c r="B123" s="317" t="str">
        <f>Monthly!A13</f>
        <v>Peter Alexis</v>
      </c>
      <c r="C123" s="337" t="str">
        <f>Monthly!$A$4</f>
        <v xml:space="preserve"> 30th April  2021</v>
      </c>
      <c r="D123" s="101"/>
      <c r="E123" s="90"/>
      <c r="F123" s="334" t="s">
        <v>219</v>
      </c>
      <c r="G123" s="335"/>
    </row>
    <row r="124" spans="2:7" ht="24.95" customHeight="1" thickTop="1" x14ac:dyDescent="0.3">
      <c r="B124" s="92"/>
      <c r="C124" s="90"/>
      <c r="D124" s="101"/>
      <c r="E124" s="90"/>
      <c r="F124" s="334" t="s">
        <v>222</v>
      </c>
      <c r="G124" s="335"/>
    </row>
    <row r="125" spans="2:7" ht="24.95" customHeight="1" x14ac:dyDescent="0.3">
      <c r="B125" s="92"/>
      <c r="C125" s="90"/>
      <c r="D125" s="101"/>
      <c r="E125" s="90"/>
      <c r="F125" s="334" t="s">
        <v>61</v>
      </c>
      <c r="G125" s="335"/>
    </row>
    <row r="126" spans="2:7" ht="24.95" customHeight="1" x14ac:dyDescent="0.25">
      <c r="B126" s="92"/>
      <c r="C126" s="90"/>
      <c r="D126" s="101"/>
      <c r="E126" s="90"/>
      <c r="F126" s="101"/>
      <c r="G126" s="91"/>
    </row>
    <row r="127" spans="2:7" ht="24.95" customHeight="1" x14ac:dyDescent="0.25">
      <c r="B127" s="92"/>
      <c r="C127" s="90"/>
      <c r="D127" s="101"/>
      <c r="E127" s="90"/>
      <c r="F127" s="101"/>
      <c r="G127" s="91"/>
    </row>
    <row r="128" spans="2:7" ht="24.95" customHeight="1" thickBot="1" x14ac:dyDescent="0.3">
      <c r="B128" s="92"/>
      <c r="C128" s="90"/>
      <c r="D128" s="101"/>
      <c r="E128" s="90"/>
      <c r="F128" s="101"/>
      <c r="G128" s="91"/>
    </row>
    <row r="129" spans="2:7" ht="24.95" customHeight="1" thickTop="1" thickBot="1" x14ac:dyDescent="0.3">
      <c r="B129" s="92"/>
      <c r="C129" s="320" t="s">
        <v>186</v>
      </c>
      <c r="D129" s="321"/>
      <c r="E129" s="322" t="s">
        <v>187</v>
      </c>
      <c r="F129" s="323"/>
      <c r="G129" s="91"/>
    </row>
    <row r="130" spans="2:7" ht="24.95" customHeight="1" thickTop="1" x14ac:dyDescent="0.25">
      <c r="B130" s="92"/>
      <c r="C130" s="92"/>
      <c r="D130" s="103"/>
      <c r="E130" s="94"/>
      <c r="F130" s="108"/>
      <c r="G130" s="91"/>
    </row>
    <row r="131" spans="2:7" ht="24.95" customHeight="1" x14ac:dyDescent="0.35">
      <c r="B131" s="92"/>
      <c r="C131" s="324" t="s">
        <v>4</v>
      </c>
      <c r="D131" s="325">
        <f>Monthly!G13</f>
        <v>934.42</v>
      </c>
      <c r="E131" s="326" t="s">
        <v>10</v>
      </c>
      <c r="F131" s="327">
        <f>Monthly!L13</f>
        <v>0</v>
      </c>
      <c r="G131" s="91"/>
    </row>
    <row r="132" spans="2:7" ht="24.95" customHeight="1" x14ac:dyDescent="0.35">
      <c r="B132" s="92"/>
      <c r="C132" s="324" t="s">
        <v>221</v>
      </c>
      <c r="D132" s="325">
        <f>Monthly!H13</f>
        <v>0</v>
      </c>
      <c r="E132" s="326" t="s">
        <v>11</v>
      </c>
      <c r="F132" s="327">
        <f>Monthly!M13</f>
        <v>46.72</v>
      </c>
      <c r="G132" s="91"/>
    </row>
    <row r="133" spans="2:7" ht="24.95" customHeight="1" x14ac:dyDescent="0.35">
      <c r="B133" s="92"/>
      <c r="C133" s="324" t="s">
        <v>258</v>
      </c>
      <c r="D133" s="325">
        <f>Monthly!I13</f>
        <v>0</v>
      </c>
      <c r="E133" s="326" t="s">
        <v>252</v>
      </c>
      <c r="F133" s="327">
        <f>Monthly!N13</f>
        <v>15</v>
      </c>
      <c r="G133" s="91"/>
    </row>
    <row r="134" spans="2:7" ht="24.95" customHeight="1" x14ac:dyDescent="0.35">
      <c r="B134" s="92"/>
      <c r="C134" s="324" t="s">
        <v>213</v>
      </c>
      <c r="D134" s="325">
        <f>Monthly!J13</f>
        <v>0</v>
      </c>
      <c r="E134" s="326" t="s">
        <v>259</v>
      </c>
      <c r="F134" s="327">
        <f>Monthly!O13</f>
        <v>0</v>
      </c>
      <c r="G134" s="91"/>
    </row>
    <row r="135" spans="2:7" ht="24.95" customHeight="1" thickBot="1" x14ac:dyDescent="0.3">
      <c r="B135" s="92"/>
      <c r="C135" s="95"/>
      <c r="D135" s="105"/>
      <c r="E135" s="96"/>
      <c r="F135" s="110"/>
      <c r="G135" s="91"/>
    </row>
    <row r="136" spans="2:7" ht="24.95" customHeight="1" thickTop="1" thickBot="1" x14ac:dyDescent="0.3">
      <c r="B136" s="92"/>
      <c r="C136" s="90"/>
      <c r="D136" s="101"/>
      <c r="E136" s="90"/>
      <c r="F136" s="101"/>
      <c r="G136" s="91"/>
    </row>
    <row r="137" spans="2:7" ht="24.95" customHeight="1" thickTop="1" thickBot="1" x14ac:dyDescent="0.4">
      <c r="B137" s="92"/>
      <c r="C137" s="332" t="s">
        <v>261</v>
      </c>
      <c r="D137" s="333">
        <f>SUM(D131:D135)</f>
        <v>934.42</v>
      </c>
      <c r="E137" s="332" t="s">
        <v>192</v>
      </c>
      <c r="F137" s="333">
        <f>SUM(F131:F135)</f>
        <v>61.72</v>
      </c>
      <c r="G137" s="91"/>
    </row>
    <row r="138" spans="2:7" ht="24.95" customHeight="1" thickTop="1" x14ac:dyDescent="0.3">
      <c r="B138" s="92"/>
      <c r="C138" s="318"/>
      <c r="D138" s="319"/>
      <c r="E138" s="318"/>
      <c r="F138" s="319"/>
      <c r="G138" s="91"/>
    </row>
    <row r="139" spans="2:7" ht="24.95" customHeight="1" thickBot="1" x14ac:dyDescent="0.35">
      <c r="B139" s="92"/>
      <c r="C139" s="318"/>
      <c r="D139" s="319"/>
      <c r="E139" s="318"/>
      <c r="F139" s="319"/>
      <c r="G139" s="91"/>
    </row>
    <row r="140" spans="2:7" ht="24.95" customHeight="1" thickTop="1" thickBot="1" x14ac:dyDescent="0.4">
      <c r="B140" s="92"/>
      <c r="C140" s="332" t="s">
        <v>193</v>
      </c>
      <c r="D140" s="333">
        <f>D137-F137</f>
        <v>872.69999999999993</v>
      </c>
      <c r="E140" s="318"/>
      <c r="F140" s="319"/>
      <c r="G140" s="91"/>
    </row>
    <row r="141" spans="2:7" ht="24.95" customHeight="1" thickTop="1" thickBot="1" x14ac:dyDescent="0.3">
      <c r="B141" s="95"/>
      <c r="C141" s="98"/>
      <c r="D141" s="107"/>
      <c r="E141" s="98"/>
      <c r="F141" s="107"/>
      <c r="G141" s="97"/>
    </row>
    <row r="142" spans="2:7" ht="24.95" customHeight="1" thickTop="1" x14ac:dyDescent="0.25"/>
    <row r="145" spans="2:7" ht="24.95" customHeight="1" thickBot="1" x14ac:dyDescent="0.3"/>
    <row r="146" spans="2:7" ht="24.95" customHeight="1" thickTop="1" thickBot="1" x14ac:dyDescent="0.3">
      <c r="B146" s="336" t="s">
        <v>184</v>
      </c>
      <c r="C146" s="336" t="s">
        <v>185</v>
      </c>
      <c r="D146" s="100"/>
      <c r="E146" s="87"/>
      <c r="F146" s="100"/>
      <c r="G146" s="88"/>
    </row>
    <row r="147" spans="2:7" ht="24.95" customHeight="1" thickTop="1" thickBot="1" x14ac:dyDescent="0.35">
      <c r="B147" s="317" t="str">
        <f>Monthly!A14</f>
        <v>Glenderine DeRiggs</v>
      </c>
      <c r="C147" s="337" t="str">
        <f>Monthly!$A$4</f>
        <v xml:space="preserve"> 30th April  2021</v>
      </c>
      <c r="D147" s="101"/>
      <c r="E147" s="90"/>
      <c r="F147" s="334" t="s">
        <v>219</v>
      </c>
      <c r="G147" s="335"/>
    </row>
    <row r="148" spans="2:7" ht="24.95" customHeight="1" thickTop="1" x14ac:dyDescent="0.3">
      <c r="B148" s="92"/>
      <c r="C148" s="90"/>
      <c r="D148" s="101"/>
      <c r="E148" s="90"/>
      <c r="F148" s="334" t="s">
        <v>222</v>
      </c>
      <c r="G148" s="335"/>
    </row>
    <row r="149" spans="2:7" ht="24.95" customHeight="1" x14ac:dyDescent="0.3">
      <c r="B149" s="92"/>
      <c r="C149" s="90"/>
      <c r="D149" s="101"/>
      <c r="E149" s="90"/>
      <c r="F149" s="334" t="s">
        <v>61</v>
      </c>
      <c r="G149" s="335"/>
    </row>
    <row r="150" spans="2:7" ht="24.95" customHeight="1" x14ac:dyDescent="0.25">
      <c r="B150" s="92"/>
      <c r="C150" s="90"/>
      <c r="D150" s="101"/>
      <c r="E150" s="90"/>
      <c r="F150" s="101"/>
      <c r="G150" s="91"/>
    </row>
    <row r="151" spans="2:7" ht="24.95" customHeight="1" x14ac:dyDescent="0.25">
      <c r="B151" s="92"/>
      <c r="C151" s="90"/>
      <c r="D151" s="101"/>
      <c r="E151" s="90"/>
      <c r="F151" s="101"/>
      <c r="G151" s="91"/>
    </row>
    <row r="152" spans="2:7" ht="24.95" customHeight="1" thickBot="1" x14ac:dyDescent="0.3">
      <c r="B152" s="92"/>
      <c r="C152" s="90"/>
      <c r="D152" s="101"/>
      <c r="E152" s="90"/>
      <c r="F152" s="101"/>
      <c r="G152" s="91"/>
    </row>
    <row r="153" spans="2:7" ht="24.95" customHeight="1" thickTop="1" thickBot="1" x14ac:dyDescent="0.3">
      <c r="B153" s="92"/>
      <c r="C153" s="320" t="s">
        <v>186</v>
      </c>
      <c r="D153" s="321"/>
      <c r="E153" s="322" t="s">
        <v>187</v>
      </c>
      <c r="F153" s="323"/>
      <c r="G153" s="91"/>
    </row>
    <row r="154" spans="2:7" ht="24.95" customHeight="1" thickTop="1" x14ac:dyDescent="0.25">
      <c r="B154" s="92"/>
      <c r="C154" s="92"/>
      <c r="D154" s="103"/>
      <c r="E154" s="94"/>
      <c r="F154" s="108"/>
      <c r="G154" s="91"/>
    </row>
    <row r="155" spans="2:7" ht="24.95" customHeight="1" x14ac:dyDescent="0.35">
      <c r="B155" s="92"/>
      <c r="C155" s="324" t="s">
        <v>4</v>
      </c>
      <c r="D155" s="325">
        <f>Monthly!G14</f>
        <v>800</v>
      </c>
      <c r="E155" s="326" t="s">
        <v>10</v>
      </c>
      <c r="F155" s="327">
        <f>Monthly!L14</f>
        <v>0</v>
      </c>
      <c r="G155" s="91"/>
    </row>
    <row r="156" spans="2:7" ht="24.95" customHeight="1" x14ac:dyDescent="0.35">
      <c r="B156" s="92"/>
      <c r="C156" s="324" t="s">
        <v>221</v>
      </c>
      <c r="D156" s="325">
        <f>Monthly!H14</f>
        <v>0</v>
      </c>
      <c r="E156" s="326" t="s">
        <v>11</v>
      </c>
      <c r="F156" s="327">
        <f>Monthly!M14</f>
        <v>40</v>
      </c>
      <c r="G156" s="91"/>
    </row>
    <row r="157" spans="2:7" ht="24.95" customHeight="1" x14ac:dyDescent="0.35">
      <c r="B157" s="92"/>
      <c r="C157" s="324" t="s">
        <v>258</v>
      </c>
      <c r="D157" s="325">
        <f>Monthly!I14</f>
        <v>0</v>
      </c>
      <c r="E157" s="326" t="s">
        <v>252</v>
      </c>
      <c r="F157" s="327">
        <f>Monthly!N14</f>
        <v>0</v>
      </c>
      <c r="G157" s="91"/>
    </row>
    <row r="158" spans="2:7" ht="24.95" customHeight="1" x14ac:dyDescent="0.35">
      <c r="B158" s="92"/>
      <c r="C158" s="324" t="s">
        <v>213</v>
      </c>
      <c r="D158" s="325">
        <f>Monthly!J14</f>
        <v>0</v>
      </c>
      <c r="E158" s="326" t="s">
        <v>259</v>
      </c>
      <c r="F158" s="327">
        <f>Monthly!O14</f>
        <v>0</v>
      </c>
      <c r="G158" s="91"/>
    </row>
    <row r="159" spans="2:7" ht="24.95" customHeight="1" thickBot="1" x14ac:dyDescent="0.3">
      <c r="B159" s="92"/>
      <c r="C159" s="95"/>
      <c r="D159" s="105"/>
      <c r="E159" s="96"/>
      <c r="F159" s="110">
        <f>Monthly!O17</f>
        <v>0</v>
      </c>
      <c r="G159" s="91"/>
    </row>
    <row r="160" spans="2:7" ht="24.95" customHeight="1" thickTop="1" thickBot="1" x14ac:dyDescent="0.3">
      <c r="B160" s="92"/>
      <c r="C160" s="90"/>
      <c r="D160" s="101"/>
      <c r="E160" s="90"/>
      <c r="F160" s="101"/>
      <c r="G160" s="91"/>
    </row>
    <row r="161" spans="2:7" ht="24.95" customHeight="1" thickTop="1" thickBot="1" x14ac:dyDescent="0.4">
      <c r="B161" s="92"/>
      <c r="C161" s="332" t="s">
        <v>260</v>
      </c>
      <c r="D161" s="333">
        <f>SUM(D155:D159)</f>
        <v>800</v>
      </c>
      <c r="E161" s="332" t="s">
        <v>192</v>
      </c>
      <c r="F161" s="333">
        <f>SUM(F155:F159)</f>
        <v>40</v>
      </c>
      <c r="G161" s="91"/>
    </row>
    <row r="162" spans="2:7" ht="24.95" customHeight="1" thickTop="1" x14ac:dyDescent="0.3">
      <c r="B162" s="92"/>
      <c r="C162" s="318"/>
      <c r="D162" s="319"/>
      <c r="E162" s="318"/>
      <c r="F162" s="319"/>
      <c r="G162" s="91"/>
    </row>
    <row r="163" spans="2:7" ht="24.95" customHeight="1" thickBot="1" x14ac:dyDescent="0.35">
      <c r="B163" s="92"/>
      <c r="C163" s="318"/>
      <c r="D163" s="319"/>
      <c r="E163" s="318"/>
      <c r="F163" s="319"/>
      <c r="G163" s="91"/>
    </row>
    <row r="164" spans="2:7" ht="24.95" customHeight="1" thickTop="1" thickBot="1" x14ac:dyDescent="0.4">
      <c r="B164" s="92"/>
      <c r="C164" s="332" t="s">
        <v>193</v>
      </c>
      <c r="D164" s="333">
        <f>D161-F161</f>
        <v>760</v>
      </c>
      <c r="E164" s="318"/>
      <c r="F164" s="319"/>
      <c r="G164" s="91"/>
    </row>
    <row r="165" spans="2:7" ht="24.95" customHeight="1" thickTop="1" thickBot="1" x14ac:dyDescent="0.3">
      <c r="B165" s="95"/>
      <c r="C165" s="98"/>
      <c r="D165" s="107"/>
      <c r="E165" s="98"/>
      <c r="F165" s="107"/>
      <c r="G165" s="97"/>
    </row>
    <row r="166" spans="2:7" ht="24.95" customHeight="1" thickTop="1" x14ac:dyDescent="0.25"/>
    <row r="169" spans="2:7" ht="24.95" customHeight="1" thickBot="1" x14ac:dyDescent="0.3"/>
    <row r="170" spans="2:7" ht="24.95" customHeight="1" thickTop="1" thickBot="1" x14ac:dyDescent="0.3">
      <c r="B170" s="336" t="s">
        <v>184</v>
      </c>
      <c r="C170" s="336" t="s">
        <v>185</v>
      </c>
      <c r="D170" s="100"/>
      <c r="E170" s="87"/>
      <c r="F170" s="100"/>
      <c r="G170" s="88"/>
    </row>
    <row r="171" spans="2:7" ht="24.95" customHeight="1" thickTop="1" thickBot="1" x14ac:dyDescent="0.35">
      <c r="B171" s="317" t="str">
        <f>Monthly!A15</f>
        <v>Veronica Alexander</v>
      </c>
      <c r="C171" s="337" t="str">
        <f>Monthly!$A$4</f>
        <v xml:space="preserve"> 30th April  2021</v>
      </c>
      <c r="D171" s="101"/>
      <c r="E171" s="90"/>
      <c r="F171" s="334" t="s">
        <v>219</v>
      </c>
      <c r="G171" s="335"/>
    </row>
    <row r="172" spans="2:7" ht="24.95" customHeight="1" thickTop="1" x14ac:dyDescent="0.3">
      <c r="B172" s="92"/>
      <c r="C172" s="90"/>
      <c r="D172" s="101"/>
      <c r="E172" s="90"/>
      <c r="F172" s="334" t="s">
        <v>222</v>
      </c>
      <c r="G172" s="335"/>
    </row>
    <row r="173" spans="2:7" ht="24.95" customHeight="1" x14ac:dyDescent="0.3">
      <c r="B173" s="92"/>
      <c r="C173" s="90"/>
      <c r="D173" s="101"/>
      <c r="E173" s="90"/>
      <c r="F173" s="334" t="s">
        <v>61</v>
      </c>
      <c r="G173" s="335"/>
    </row>
    <row r="174" spans="2:7" ht="24.95" customHeight="1" x14ac:dyDescent="0.25">
      <c r="B174" s="92"/>
      <c r="C174" s="90"/>
      <c r="D174" s="101"/>
      <c r="E174" s="90"/>
      <c r="F174" s="101"/>
      <c r="G174" s="91"/>
    </row>
    <row r="175" spans="2:7" ht="24.95" customHeight="1" x14ac:dyDescent="0.25">
      <c r="B175" s="92"/>
      <c r="C175" s="90"/>
      <c r="D175" s="101"/>
      <c r="E175" s="90"/>
      <c r="F175" s="101"/>
      <c r="G175" s="91"/>
    </row>
    <row r="176" spans="2:7" ht="24.95" customHeight="1" thickBot="1" x14ac:dyDescent="0.3">
      <c r="B176" s="92"/>
      <c r="C176" s="90"/>
      <c r="D176" s="101"/>
      <c r="E176" s="90"/>
      <c r="F176" s="101"/>
      <c r="G176" s="91"/>
    </row>
    <row r="177" spans="2:7" ht="24.95" customHeight="1" thickTop="1" thickBot="1" x14ac:dyDescent="0.3">
      <c r="B177" s="92"/>
      <c r="C177" s="320" t="s">
        <v>186</v>
      </c>
      <c r="D177" s="321"/>
      <c r="E177" s="322" t="s">
        <v>187</v>
      </c>
      <c r="F177" s="323"/>
      <c r="G177" s="91"/>
    </row>
    <row r="178" spans="2:7" ht="24.95" customHeight="1" thickTop="1" x14ac:dyDescent="0.25">
      <c r="B178" s="92"/>
      <c r="C178" s="92"/>
      <c r="D178" s="103"/>
      <c r="E178" s="94"/>
      <c r="F178" s="108"/>
      <c r="G178" s="91"/>
    </row>
    <row r="179" spans="2:7" ht="24.95" customHeight="1" x14ac:dyDescent="0.35">
      <c r="B179" s="92"/>
      <c r="C179" s="324" t="s">
        <v>4</v>
      </c>
      <c r="D179" s="325">
        <f>Monthly!G15</f>
        <v>0</v>
      </c>
      <c r="E179" s="326" t="s">
        <v>10</v>
      </c>
      <c r="F179" s="327">
        <f>Monthly!L15</f>
        <v>0</v>
      </c>
      <c r="G179" s="91"/>
    </row>
    <row r="180" spans="2:7" ht="24.95" customHeight="1" x14ac:dyDescent="0.35">
      <c r="B180" s="92"/>
      <c r="C180" s="324" t="s">
        <v>221</v>
      </c>
      <c r="D180" s="325">
        <f>Monthly!H15</f>
        <v>0</v>
      </c>
      <c r="E180" s="326" t="s">
        <v>11</v>
      </c>
      <c r="F180" s="327">
        <f>Monthly!M15</f>
        <v>0</v>
      </c>
      <c r="G180" s="91"/>
    </row>
    <row r="181" spans="2:7" ht="24.95" customHeight="1" x14ac:dyDescent="0.35">
      <c r="B181" s="92"/>
      <c r="C181" s="324" t="s">
        <v>258</v>
      </c>
      <c r="D181" s="325">
        <f>Monthly!I15</f>
        <v>0</v>
      </c>
      <c r="E181" s="326" t="s">
        <v>252</v>
      </c>
      <c r="F181" s="327">
        <f>Monthly!N15</f>
        <v>0</v>
      </c>
      <c r="G181" s="91"/>
    </row>
    <row r="182" spans="2:7" ht="24.95" customHeight="1" x14ac:dyDescent="0.35">
      <c r="B182" s="92"/>
      <c r="C182" s="324" t="s">
        <v>213</v>
      </c>
      <c r="D182" s="325">
        <f>Monthly!J15</f>
        <v>0</v>
      </c>
      <c r="E182" s="326" t="s">
        <v>259</v>
      </c>
      <c r="F182" s="327">
        <f>Monthly!O15</f>
        <v>0</v>
      </c>
      <c r="G182" s="91"/>
    </row>
    <row r="183" spans="2:7" ht="24.95" customHeight="1" thickBot="1" x14ac:dyDescent="0.3">
      <c r="B183" s="92"/>
      <c r="C183" s="95"/>
      <c r="D183" s="105"/>
      <c r="E183" s="96"/>
      <c r="F183" s="110">
        <f>Monthly!O18</f>
        <v>0</v>
      </c>
      <c r="G183" s="91"/>
    </row>
    <row r="184" spans="2:7" ht="24.95" customHeight="1" thickTop="1" thickBot="1" x14ac:dyDescent="0.3">
      <c r="B184" s="92"/>
      <c r="C184" s="90"/>
      <c r="D184" s="101"/>
      <c r="E184" s="90"/>
      <c r="F184" s="101"/>
      <c r="G184" s="91"/>
    </row>
    <row r="185" spans="2:7" ht="24.95" customHeight="1" thickTop="1" thickBot="1" x14ac:dyDescent="0.4">
      <c r="B185" s="92"/>
      <c r="C185" s="332" t="s">
        <v>261</v>
      </c>
      <c r="D185" s="333">
        <f>SUM(D179:D183)</f>
        <v>0</v>
      </c>
      <c r="E185" s="332" t="s">
        <v>192</v>
      </c>
      <c r="F185" s="333">
        <f>SUM(F179:F183)</f>
        <v>0</v>
      </c>
      <c r="G185" s="91"/>
    </row>
    <row r="186" spans="2:7" ht="24.95" customHeight="1" thickTop="1" x14ac:dyDescent="0.3">
      <c r="B186" s="92"/>
      <c r="C186" s="318"/>
      <c r="D186" s="319"/>
      <c r="E186" s="318"/>
      <c r="F186" s="319"/>
      <c r="G186" s="91"/>
    </row>
    <row r="187" spans="2:7" ht="24.95" customHeight="1" thickBot="1" x14ac:dyDescent="0.35">
      <c r="B187" s="92"/>
      <c r="C187" s="318"/>
      <c r="D187" s="319"/>
      <c r="E187" s="318"/>
      <c r="F187" s="319"/>
      <c r="G187" s="91"/>
    </row>
    <row r="188" spans="2:7" ht="24.95" customHeight="1" thickTop="1" thickBot="1" x14ac:dyDescent="0.4">
      <c r="B188" s="92"/>
      <c r="C188" s="332" t="s">
        <v>193</v>
      </c>
      <c r="D188" s="333">
        <f>D185-F185</f>
        <v>0</v>
      </c>
      <c r="E188" s="318"/>
      <c r="F188" s="319"/>
      <c r="G188" s="91"/>
    </row>
    <row r="189" spans="2:7" ht="24.95" customHeight="1" thickTop="1" thickBot="1" x14ac:dyDescent="0.3">
      <c r="B189" s="95"/>
      <c r="C189" s="98"/>
      <c r="D189" s="107"/>
      <c r="E189" s="98"/>
      <c r="F189" s="107"/>
      <c r="G189" s="97"/>
    </row>
    <row r="190" spans="2:7" ht="24.95" customHeight="1" thickTop="1" x14ac:dyDescent="0.25"/>
    <row r="193" spans="2:16" ht="24.95" customHeight="1" thickBot="1" x14ac:dyDescent="0.3"/>
    <row r="194" spans="2:16" ht="24.95" customHeight="1" thickTop="1" thickBot="1" x14ac:dyDescent="0.3">
      <c r="B194" s="336" t="s">
        <v>184</v>
      </c>
      <c r="C194" s="336" t="s">
        <v>185</v>
      </c>
      <c r="D194" s="100"/>
      <c r="E194" s="87"/>
      <c r="F194" s="100"/>
      <c r="G194" s="88"/>
      <c r="M194" s="320"/>
      <c r="N194" s="321"/>
      <c r="O194" s="322"/>
      <c r="P194" s="323"/>
    </row>
    <row r="195" spans="2:16" ht="24.95" customHeight="1" thickTop="1" thickBot="1" x14ac:dyDescent="0.35">
      <c r="B195" s="317" t="str">
        <f>Monthly!A19</f>
        <v>Norris Joseph</v>
      </c>
      <c r="C195" s="337" t="str">
        <f>Monthly!$A$4</f>
        <v xml:space="preserve"> 30th April  2021</v>
      </c>
      <c r="D195" s="101"/>
      <c r="E195" s="90"/>
      <c r="F195" s="334" t="s">
        <v>219</v>
      </c>
      <c r="G195" s="335"/>
    </row>
    <row r="196" spans="2:16" ht="24.95" customHeight="1" thickTop="1" x14ac:dyDescent="0.3">
      <c r="B196" s="92"/>
      <c r="C196" s="90"/>
      <c r="D196" s="101"/>
      <c r="E196" s="90"/>
      <c r="F196" s="334" t="s">
        <v>222</v>
      </c>
      <c r="G196" s="335"/>
    </row>
    <row r="197" spans="2:16" ht="24.95" customHeight="1" x14ac:dyDescent="0.3">
      <c r="B197" s="92"/>
      <c r="C197" s="90"/>
      <c r="D197" s="101"/>
      <c r="E197" s="90"/>
      <c r="F197" s="334" t="s">
        <v>61</v>
      </c>
      <c r="G197" s="335"/>
    </row>
    <row r="198" spans="2:16" ht="24.95" customHeight="1" x14ac:dyDescent="0.25">
      <c r="B198" s="92"/>
      <c r="C198" s="90"/>
      <c r="D198" s="101"/>
      <c r="E198" s="90"/>
      <c r="F198" s="101"/>
      <c r="G198" s="91"/>
    </row>
    <row r="199" spans="2:16" ht="24.95" customHeight="1" x14ac:dyDescent="0.25">
      <c r="B199" s="92"/>
      <c r="C199" s="90"/>
      <c r="D199" s="101"/>
      <c r="E199" s="90"/>
      <c r="F199" s="101"/>
      <c r="G199" s="91"/>
    </row>
    <row r="200" spans="2:16" ht="24.95" customHeight="1" thickBot="1" x14ac:dyDescent="0.3">
      <c r="B200" s="92"/>
      <c r="C200" s="90"/>
      <c r="D200" s="101"/>
      <c r="E200" s="90"/>
      <c r="F200" s="101"/>
      <c r="G200" s="91"/>
    </row>
    <row r="201" spans="2:16" ht="24.95" customHeight="1" thickTop="1" thickBot="1" x14ac:dyDescent="0.3">
      <c r="B201" s="92"/>
      <c r="C201" s="320" t="s">
        <v>186</v>
      </c>
      <c r="D201" s="321"/>
      <c r="E201" s="322" t="s">
        <v>187</v>
      </c>
      <c r="F201" s="323"/>
      <c r="G201" s="91"/>
    </row>
    <row r="202" spans="2:16" ht="24.95" customHeight="1" thickTop="1" x14ac:dyDescent="0.25">
      <c r="B202" s="92"/>
      <c r="C202" s="92"/>
      <c r="D202" s="103"/>
      <c r="E202" s="94"/>
      <c r="F202" s="108"/>
      <c r="G202" s="91"/>
    </row>
    <row r="203" spans="2:16" ht="24.95" customHeight="1" x14ac:dyDescent="0.35">
      <c r="B203" s="92"/>
      <c r="C203" s="324" t="s">
        <v>4</v>
      </c>
      <c r="D203" s="325">
        <f>Monthly!G19</f>
        <v>1500</v>
      </c>
      <c r="E203" s="326" t="s">
        <v>10</v>
      </c>
      <c r="F203" s="327">
        <f>Monthly!L19</f>
        <v>0</v>
      </c>
      <c r="G203" s="91"/>
    </row>
    <row r="204" spans="2:16" ht="24.95" customHeight="1" x14ac:dyDescent="0.35">
      <c r="B204" s="92"/>
      <c r="C204" s="324" t="s">
        <v>221</v>
      </c>
      <c r="D204" s="325">
        <f>Monthly!H19</f>
        <v>0</v>
      </c>
      <c r="E204" s="326" t="s">
        <v>11</v>
      </c>
      <c r="F204" s="327">
        <f>Monthly!M19</f>
        <v>75</v>
      </c>
      <c r="G204" s="91"/>
    </row>
    <row r="205" spans="2:16" ht="24.95" customHeight="1" x14ac:dyDescent="0.35">
      <c r="B205" s="92"/>
      <c r="C205" s="324" t="s">
        <v>258</v>
      </c>
      <c r="D205" s="325">
        <f>Monthly!I19</f>
        <v>0</v>
      </c>
      <c r="E205" s="326" t="s">
        <v>252</v>
      </c>
      <c r="F205" s="327">
        <f>Monthly!N19</f>
        <v>0</v>
      </c>
      <c r="G205" s="91"/>
    </row>
    <row r="206" spans="2:16" ht="24.95" customHeight="1" x14ac:dyDescent="0.35">
      <c r="B206" s="92"/>
      <c r="C206" s="324" t="s">
        <v>213</v>
      </c>
      <c r="D206" s="325">
        <f>Monthly!J19</f>
        <v>0</v>
      </c>
      <c r="E206" s="326" t="s">
        <v>259</v>
      </c>
      <c r="F206" s="327">
        <f>Monthly!O19</f>
        <v>0</v>
      </c>
      <c r="G206" s="91"/>
    </row>
    <row r="207" spans="2:16" ht="24.95" customHeight="1" thickBot="1" x14ac:dyDescent="0.3">
      <c r="B207" s="92"/>
      <c r="C207" s="95"/>
      <c r="D207" s="105"/>
      <c r="E207" s="96"/>
      <c r="F207" s="110">
        <f>Monthly!O23</f>
        <v>0</v>
      </c>
      <c r="G207" s="91"/>
    </row>
    <row r="208" spans="2:16" ht="24.95" customHeight="1" thickTop="1" thickBot="1" x14ac:dyDescent="0.3">
      <c r="B208" s="92"/>
      <c r="C208" s="90"/>
      <c r="D208" s="101"/>
      <c r="E208" s="90"/>
      <c r="F208" s="101"/>
      <c r="G208" s="91"/>
    </row>
    <row r="209" spans="2:7" ht="24.95" customHeight="1" thickTop="1" thickBot="1" x14ac:dyDescent="0.4">
      <c r="B209" s="92"/>
      <c r="C209" s="332" t="s">
        <v>191</v>
      </c>
      <c r="D209" s="333">
        <f>SUM(D203:D207)</f>
        <v>1500</v>
      </c>
      <c r="E209" s="332" t="s">
        <v>192</v>
      </c>
      <c r="F209" s="333">
        <f>SUM(F203:F207)</f>
        <v>75</v>
      </c>
      <c r="G209" s="91"/>
    </row>
    <row r="210" spans="2:7" ht="24.95" customHeight="1" thickTop="1" x14ac:dyDescent="0.3">
      <c r="B210" s="92"/>
      <c r="C210" s="318"/>
      <c r="D210" s="319"/>
      <c r="E210" s="318"/>
      <c r="F210" s="319"/>
      <c r="G210" s="91"/>
    </row>
    <row r="211" spans="2:7" ht="24.95" customHeight="1" thickBot="1" x14ac:dyDescent="0.35">
      <c r="B211" s="92"/>
      <c r="C211" s="318"/>
      <c r="D211" s="319"/>
      <c r="E211" s="318"/>
      <c r="F211" s="319"/>
      <c r="G211" s="91"/>
    </row>
    <row r="212" spans="2:7" ht="24.95" customHeight="1" thickTop="1" thickBot="1" x14ac:dyDescent="0.4">
      <c r="B212" s="92"/>
      <c r="C212" s="332" t="s">
        <v>193</v>
      </c>
      <c r="D212" s="333">
        <f>D209-F209</f>
        <v>1425</v>
      </c>
      <c r="E212" s="318"/>
      <c r="F212" s="319"/>
      <c r="G212" s="91"/>
    </row>
    <row r="213" spans="2:7" ht="24.95" customHeight="1" thickTop="1" thickBot="1" x14ac:dyDescent="0.3">
      <c r="B213" s="95"/>
      <c r="C213" s="98"/>
      <c r="D213" s="107"/>
      <c r="E213" s="98"/>
      <c r="F213" s="107"/>
      <c r="G213" s="97"/>
    </row>
    <row r="214" spans="2:7" ht="24.95" customHeight="1" thickTop="1" x14ac:dyDescent="0.25"/>
    <row r="217" spans="2:7" ht="24.95" customHeight="1" thickBot="1" x14ac:dyDescent="0.3"/>
    <row r="218" spans="2:7" ht="24.95" customHeight="1" thickTop="1" thickBot="1" x14ac:dyDescent="0.3">
      <c r="B218" s="336" t="s">
        <v>184</v>
      </c>
      <c r="C218" s="336" t="s">
        <v>185</v>
      </c>
      <c r="D218" s="100"/>
      <c r="E218" s="87"/>
      <c r="F218" s="100"/>
      <c r="G218" s="88"/>
    </row>
    <row r="219" spans="2:7" ht="24.95" customHeight="1" thickTop="1" thickBot="1" x14ac:dyDescent="0.35">
      <c r="B219" s="317" t="str">
        <f>Monthly!A20</f>
        <v>Gerald Jones</v>
      </c>
      <c r="C219" s="337" t="str">
        <f>Monthly!$A$4</f>
        <v xml:space="preserve"> 30th April  2021</v>
      </c>
      <c r="D219" s="101"/>
      <c r="E219" s="90"/>
      <c r="F219" s="334" t="s">
        <v>219</v>
      </c>
      <c r="G219" s="335"/>
    </row>
    <row r="220" spans="2:7" ht="24.95" customHeight="1" thickTop="1" x14ac:dyDescent="0.3">
      <c r="B220" s="92"/>
      <c r="C220" s="90"/>
      <c r="D220" s="101"/>
      <c r="E220" s="90"/>
      <c r="F220" s="334" t="s">
        <v>222</v>
      </c>
      <c r="G220" s="335"/>
    </row>
    <row r="221" spans="2:7" ht="24.95" customHeight="1" x14ac:dyDescent="0.3">
      <c r="B221" s="92"/>
      <c r="C221" s="90"/>
      <c r="D221" s="101"/>
      <c r="E221" s="90"/>
      <c r="F221" s="334" t="s">
        <v>61</v>
      </c>
      <c r="G221" s="335"/>
    </row>
    <row r="222" spans="2:7" ht="24.95" customHeight="1" x14ac:dyDescent="0.25">
      <c r="B222" s="92"/>
      <c r="C222" s="90"/>
      <c r="D222" s="101"/>
      <c r="E222" s="90"/>
      <c r="F222" s="101"/>
      <c r="G222" s="91"/>
    </row>
    <row r="223" spans="2:7" ht="24.95" customHeight="1" x14ac:dyDescent="0.25">
      <c r="B223" s="92"/>
      <c r="C223" s="90"/>
      <c r="D223" s="101"/>
      <c r="E223" s="90"/>
      <c r="F223" s="101"/>
      <c r="G223" s="91"/>
    </row>
    <row r="224" spans="2:7" ht="24.95" customHeight="1" thickBot="1" x14ac:dyDescent="0.3">
      <c r="B224" s="92"/>
      <c r="C224" s="90"/>
      <c r="D224" s="101"/>
      <c r="E224" s="90"/>
      <c r="F224" s="101"/>
      <c r="G224" s="91"/>
    </row>
    <row r="225" spans="2:7" ht="24.95" customHeight="1" thickTop="1" thickBot="1" x14ac:dyDescent="0.3">
      <c r="B225" s="92"/>
      <c r="C225" s="320" t="s">
        <v>186</v>
      </c>
      <c r="D225" s="321"/>
      <c r="E225" s="322" t="s">
        <v>187</v>
      </c>
      <c r="F225" s="323"/>
      <c r="G225" s="91"/>
    </row>
    <row r="226" spans="2:7" ht="24.95" customHeight="1" thickTop="1" x14ac:dyDescent="0.25">
      <c r="B226" s="92"/>
      <c r="C226" s="92"/>
      <c r="D226" s="103"/>
      <c r="E226" s="94"/>
      <c r="F226" s="108"/>
      <c r="G226" s="91"/>
    </row>
    <row r="227" spans="2:7" ht="24.95" customHeight="1" x14ac:dyDescent="0.35">
      <c r="B227" s="92"/>
      <c r="C227" s="324" t="s">
        <v>4</v>
      </c>
      <c r="D227" s="325">
        <f>Monthly!G20</f>
        <v>1450</v>
      </c>
      <c r="E227" s="326" t="s">
        <v>10</v>
      </c>
      <c r="F227" s="327">
        <f>Monthly!L20</f>
        <v>0</v>
      </c>
      <c r="G227" s="91"/>
    </row>
    <row r="228" spans="2:7" ht="24.95" customHeight="1" x14ac:dyDescent="0.35">
      <c r="B228" s="92"/>
      <c r="C228" s="324" t="s">
        <v>221</v>
      </c>
      <c r="D228" s="325">
        <f>Monthly!H20</f>
        <v>0</v>
      </c>
      <c r="E228" s="326" t="s">
        <v>11</v>
      </c>
      <c r="F228" s="327">
        <f>Monthly!M20</f>
        <v>72.5</v>
      </c>
      <c r="G228" s="91"/>
    </row>
    <row r="229" spans="2:7" ht="24.95" customHeight="1" x14ac:dyDescent="0.35">
      <c r="B229" s="92"/>
      <c r="C229" s="324" t="s">
        <v>258</v>
      </c>
      <c r="D229" s="325">
        <f>Monthly!I20</f>
        <v>0</v>
      </c>
      <c r="E229" s="326" t="s">
        <v>252</v>
      </c>
      <c r="F229" s="327">
        <f>Monthly!N20</f>
        <v>0</v>
      </c>
      <c r="G229" s="91"/>
    </row>
    <row r="230" spans="2:7" ht="24.95" customHeight="1" x14ac:dyDescent="0.35">
      <c r="B230" s="92"/>
      <c r="C230" s="324" t="s">
        <v>213</v>
      </c>
      <c r="D230" s="325">
        <f>Monthly!J20</f>
        <v>0</v>
      </c>
      <c r="E230" s="326" t="s">
        <v>259</v>
      </c>
      <c r="F230" s="327">
        <f>Monthly!O20</f>
        <v>0</v>
      </c>
      <c r="G230" s="91"/>
    </row>
    <row r="231" spans="2:7" ht="24.95" customHeight="1" thickBot="1" x14ac:dyDescent="0.3">
      <c r="B231" s="92"/>
      <c r="C231" s="95"/>
      <c r="D231" s="105"/>
      <c r="E231" s="96"/>
      <c r="F231" s="110"/>
      <c r="G231" s="91"/>
    </row>
    <row r="232" spans="2:7" ht="24.95" customHeight="1" thickTop="1" thickBot="1" x14ac:dyDescent="0.3">
      <c r="B232" s="92"/>
      <c r="C232" s="90"/>
      <c r="D232" s="101"/>
      <c r="E232" s="90"/>
      <c r="F232" s="101"/>
      <c r="G232" s="91"/>
    </row>
    <row r="233" spans="2:7" ht="24.95" customHeight="1" thickTop="1" thickBot="1" x14ac:dyDescent="0.4">
      <c r="B233" s="92"/>
      <c r="C233" s="332" t="s">
        <v>261</v>
      </c>
      <c r="D233" s="333">
        <f>SUM(D227:D231)</f>
        <v>1450</v>
      </c>
      <c r="E233" s="332" t="s">
        <v>192</v>
      </c>
      <c r="F233" s="333">
        <f>SUM(F227:F231)</f>
        <v>72.5</v>
      </c>
      <c r="G233" s="91"/>
    </row>
    <row r="234" spans="2:7" ht="24.95" customHeight="1" thickTop="1" x14ac:dyDescent="0.3">
      <c r="B234" s="92"/>
      <c r="C234" s="318"/>
      <c r="D234" s="319"/>
      <c r="E234" s="318"/>
      <c r="F234" s="319"/>
      <c r="G234" s="91"/>
    </row>
    <row r="235" spans="2:7" ht="24.95" customHeight="1" thickBot="1" x14ac:dyDescent="0.35">
      <c r="B235" s="92"/>
      <c r="C235" s="318"/>
      <c r="D235" s="319"/>
      <c r="E235" s="318"/>
      <c r="F235" s="319"/>
      <c r="G235" s="91"/>
    </row>
    <row r="236" spans="2:7" ht="24.95" customHeight="1" thickTop="1" thickBot="1" x14ac:dyDescent="0.4">
      <c r="B236" s="92"/>
      <c r="C236" s="332" t="s">
        <v>193</v>
      </c>
      <c r="D236" s="333">
        <f>D233-F233</f>
        <v>1377.5</v>
      </c>
      <c r="E236" s="318"/>
      <c r="F236" s="319"/>
      <c r="G236" s="91"/>
    </row>
    <row r="237" spans="2:7" ht="24.95" customHeight="1" thickTop="1" thickBot="1" x14ac:dyDescent="0.3">
      <c r="B237" s="95"/>
      <c r="C237" s="98"/>
      <c r="D237" s="107"/>
      <c r="E237" s="98"/>
      <c r="F237" s="107"/>
      <c r="G237" s="97"/>
    </row>
    <row r="238" spans="2:7" ht="24.95" customHeight="1" thickTop="1" x14ac:dyDescent="0.25"/>
    <row r="241" spans="2:7" ht="24.95" customHeight="1" thickBot="1" x14ac:dyDescent="0.3"/>
    <row r="242" spans="2:7" ht="24.95" customHeight="1" thickTop="1" thickBot="1" x14ac:dyDescent="0.3">
      <c r="B242" s="336" t="s">
        <v>184</v>
      </c>
      <c r="C242" s="336" t="s">
        <v>185</v>
      </c>
      <c r="D242" s="100"/>
      <c r="E242" s="87"/>
      <c r="F242" s="100"/>
      <c r="G242" s="88"/>
    </row>
    <row r="243" spans="2:7" ht="24.95" customHeight="1" thickTop="1" thickBot="1" x14ac:dyDescent="0.35">
      <c r="B243" s="317" t="str">
        <f>Monthly!A23</f>
        <v>Oscar Elcock</v>
      </c>
      <c r="C243" s="337" t="str">
        <f>Monthly!$A$4</f>
        <v xml:space="preserve"> 30th April  2021</v>
      </c>
      <c r="D243" s="101"/>
      <c r="E243" s="90"/>
      <c r="F243" s="334" t="s">
        <v>219</v>
      </c>
      <c r="G243" s="335"/>
    </row>
    <row r="244" spans="2:7" ht="24.95" customHeight="1" thickTop="1" x14ac:dyDescent="0.3">
      <c r="B244" s="92"/>
      <c r="C244" s="90"/>
      <c r="D244" s="101"/>
      <c r="E244" s="90"/>
      <c r="F244" s="334" t="s">
        <v>222</v>
      </c>
      <c r="G244" s="335"/>
    </row>
    <row r="245" spans="2:7" ht="24.95" customHeight="1" x14ac:dyDescent="0.3">
      <c r="B245" s="92"/>
      <c r="C245" s="90"/>
      <c r="D245" s="101"/>
      <c r="E245" s="90"/>
      <c r="F245" s="334" t="s">
        <v>61</v>
      </c>
      <c r="G245" s="335"/>
    </row>
    <row r="246" spans="2:7" ht="24.95" customHeight="1" x14ac:dyDescent="0.25">
      <c r="B246" s="92"/>
      <c r="C246" s="90"/>
      <c r="D246" s="101"/>
      <c r="E246" s="90"/>
      <c r="F246" s="101"/>
      <c r="G246" s="91"/>
    </row>
    <row r="247" spans="2:7" ht="24.95" customHeight="1" x14ac:dyDescent="0.25">
      <c r="B247" s="92"/>
      <c r="C247" s="90"/>
      <c r="D247" s="101"/>
      <c r="E247" s="90"/>
      <c r="F247" s="101"/>
      <c r="G247" s="91"/>
    </row>
    <row r="248" spans="2:7" ht="24.95" customHeight="1" thickBot="1" x14ac:dyDescent="0.3">
      <c r="B248" s="92"/>
      <c r="C248" s="90"/>
      <c r="D248" s="101"/>
      <c r="E248" s="90"/>
      <c r="F248" s="101"/>
      <c r="G248" s="91"/>
    </row>
    <row r="249" spans="2:7" ht="24.95" customHeight="1" thickTop="1" thickBot="1" x14ac:dyDescent="0.3">
      <c r="B249" s="92"/>
      <c r="C249" s="320" t="s">
        <v>186</v>
      </c>
      <c r="D249" s="321"/>
      <c r="E249" s="322" t="s">
        <v>187</v>
      </c>
      <c r="F249" s="323"/>
      <c r="G249" s="91"/>
    </row>
    <row r="250" spans="2:7" ht="24.95" customHeight="1" thickTop="1" x14ac:dyDescent="0.25">
      <c r="B250" s="92"/>
      <c r="C250" s="92"/>
      <c r="D250" s="103"/>
      <c r="E250" s="94"/>
      <c r="F250" s="108"/>
      <c r="G250" s="91"/>
    </row>
    <row r="251" spans="2:7" ht="24.95" customHeight="1" x14ac:dyDescent="0.35">
      <c r="B251" s="92"/>
      <c r="C251" s="324" t="s">
        <v>4</v>
      </c>
      <c r="D251" s="325">
        <f>Monthly!G23</f>
        <v>1591.2</v>
      </c>
      <c r="E251" s="326" t="s">
        <v>10</v>
      </c>
      <c r="F251" s="327">
        <f>Monthly!L23</f>
        <v>0</v>
      </c>
      <c r="G251" s="91"/>
    </row>
    <row r="252" spans="2:7" ht="24.95" customHeight="1" x14ac:dyDescent="0.35">
      <c r="B252" s="92"/>
      <c r="C252" s="324" t="s">
        <v>221</v>
      </c>
      <c r="D252" s="325">
        <f>Monthly!H23</f>
        <v>0</v>
      </c>
      <c r="E252" s="326" t="s">
        <v>11</v>
      </c>
      <c r="F252" s="327">
        <f>Monthly!M23</f>
        <v>79.56</v>
      </c>
      <c r="G252" s="91"/>
    </row>
    <row r="253" spans="2:7" ht="24.95" customHeight="1" x14ac:dyDescent="0.35">
      <c r="B253" s="92"/>
      <c r="C253" s="324" t="s">
        <v>258</v>
      </c>
      <c r="D253" s="325">
        <f>Monthly!I23</f>
        <v>0</v>
      </c>
      <c r="E253" s="326" t="s">
        <v>252</v>
      </c>
      <c r="F253" s="327">
        <f>Monthly!N23</f>
        <v>25</v>
      </c>
      <c r="G253" s="91"/>
    </row>
    <row r="254" spans="2:7" ht="24.95" customHeight="1" x14ac:dyDescent="0.35">
      <c r="B254" s="92"/>
      <c r="C254" s="324" t="s">
        <v>213</v>
      </c>
      <c r="D254" s="325">
        <f>Monthly!J23</f>
        <v>0</v>
      </c>
      <c r="E254" s="326" t="s">
        <v>259</v>
      </c>
      <c r="F254" s="327">
        <f>Monthly!O23</f>
        <v>0</v>
      </c>
      <c r="G254" s="91"/>
    </row>
    <row r="255" spans="2:7" ht="24.95" customHeight="1" thickBot="1" x14ac:dyDescent="0.3">
      <c r="B255" s="92"/>
      <c r="C255" s="95"/>
      <c r="D255" s="105"/>
      <c r="E255" s="205"/>
      <c r="F255" s="110">
        <f>Monthly!O25</f>
        <v>0</v>
      </c>
      <c r="G255" s="91"/>
    </row>
    <row r="256" spans="2:7" ht="24.95" customHeight="1" thickTop="1" thickBot="1" x14ac:dyDescent="0.3">
      <c r="B256" s="92"/>
      <c r="C256" s="90"/>
      <c r="D256" s="101"/>
      <c r="E256" s="90"/>
      <c r="F256" s="101"/>
      <c r="G256" s="91"/>
    </row>
    <row r="257" spans="2:7" ht="24.95" customHeight="1" thickTop="1" thickBot="1" x14ac:dyDescent="0.4">
      <c r="B257" s="92"/>
      <c r="C257" s="332" t="s">
        <v>261</v>
      </c>
      <c r="D257" s="333">
        <f>SUM(D251:D255)</f>
        <v>1591.2</v>
      </c>
      <c r="E257" s="332" t="s">
        <v>192</v>
      </c>
      <c r="F257" s="333">
        <f>SUM(F251:F255)</f>
        <v>104.56</v>
      </c>
      <c r="G257" s="91"/>
    </row>
    <row r="258" spans="2:7" ht="24.95" customHeight="1" thickTop="1" x14ac:dyDescent="0.3">
      <c r="B258" s="92"/>
      <c r="C258" s="318"/>
      <c r="D258" s="319"/>
      <c r="E258" s="318"/>
      <c r="F258" s="319"/>
      <c r="G258" s="91"/>
    </row>
    <row r="259" spans="2:7" ht="24.95" customHeight="1" thickBot="1" x14ac:dyDescent="0.35">
      <c r="B259" s="92"/>
      <c r="C259" s="318"/>
      <c r="D259" s="319"/>
      <c r="E259" s="318"/>
      <c r="F259" s="319"/>
      <c r="G259" s="91"/>
    </row>
    <row r="260" spans="2:7" ht="24.95" customHeight="1" thickTop="1" thickBot="1" x14ac:dyDescent="0.4">
      <c r="B260" s="92"/>
      <c r="C260" s="332" t="s">
        <v>193</v>
      </c>
      <c r="D260" s="333">
        <f>D257-F257</f>
        <v>1486.64</v>
      </c>
      <c r="E260" s="318"/>
      <c r="F260" s="319"/>
      <c r="G260" s="91"/>
    </row>
    <row r="261" spans="2:7" ht="24.95" customHeight="1" thickTop="1" thickBot="1" x14ac:dyDescent="0.3">
      <c r="B261" s="95"/>
      <c r="C261" s="98"/>
      <c r="D261" s="107"/>
      <c r="E261" s="98"/>
      <c r="F261" s="107"/>
      <c r="G261" s="97"/>
    </row>
    <row r="262" spans="2:7" ht="24.95" customHeight="1" thickTop="1" x14ac:dyDescent="0.25"/>
    <row r="265" spans="2:7" ht="24.95" customHeight="1" thickBot="1" x14ac:dyDescent="0.3"/>
    <row r="266" spans="2:7" ht="24.95" customHeight="1" thickTop="1" thickBot="1" x14ac:dyDescent="0.3">
      <c r="B266" s="336" t="s">
        <v>184</v>
      </c>
      <c r="C266" s="336" t="s">
        <v>185</v>
      </c>
      <c r="D266" s="100"/>
      <c r="E266" s="87"/>
      <c r="F266" s="100"/>
      <c r="G266" s="88"/>
    </row>
    <row r="267" spans="2:7" ht="24.95" customHeight="1" thickTop="1" thickBot="1" x14ac:dyDescent="0.35">
      <c r="B267" s="317" t="str">
        <f>Monthly!A24</f>
        <v>Andris Toussaint</v>
      </c>
      <c r="C267" s="337" t="str">
        <f>Monthly!$A$4</f>
        <v xml:space="preserve"> 30th April  2021</v>
      </c>
      <c r="D267" s="101"/>
      <c r="E267" s="90"/>
      <c r="F267" s="334" t="s">
        <v>219</v>
      </c>
      <c r="G267" s="335"/>
    </row>
    <row r="268" spans="2:7" ht="24.95" customHeight="1" thickTop="1" x14ac:dyDescent="0.3">
      <c r="B268" s="92"/>
      <c r="C268" s="90"/>
      <c r="D268" s="101"/>
      <c r="E268" s="90"/>
      <c r="F268" s="334" t="s">
        <v>222</v>
      </c>
      <c r="G268" s="335"/>
    </row>
    <row r="269" spans="2:7" ht="24.95" customHeight="1" x14ac:dyDescent="0.3">
      <c r="B269" s="92"/>
      <c r="C269" s="90"/>
      <c r="D269" s="101"/>
      <c r="E269" s="90"/>
      <c r="F269" s="334" t="s">
        <v>61</v>
      </c>
      <c r="G269" s="335"/>
    </row>
    <row r="270" spans="2:7" ht="24.95" customHeight="1" x14ac:dyDescent="0.25">
      <c r="B270" s="92"/>
      <c r="C270" s="90"/>
      <c r="D270" s="101"/>
      <c r="E270" s="90"/>
      <c r="F270" s="101"/>
      <c r="G270" s="91"/>
    </row>
    <row r="271" spans="2:7" ht="24.95" customHeight="1" x14ac:dyDescent="0.25">
      <c r="B271" s="92"/>
      <c r="C271" s="90"/>
      <c r="D271" s="101"/>
      <c r="E271" s="90"/>
      <c r="F271" s="101"/>
      <c r="G271" s="91"/>
    </row>
    <row r="272" spans="2:7" ht="24.95" customHeight="1" thickBot="1" x14ac:dyDescent="0.3">
      <c r="B272" s="92"/>
      <c r="C272" s="90"/>
      <c r="D272" s="101"/>
      <c r="E272" s="90"/>
      <c r="F272" s="101"/>
      <c r="G272" s="91"/>
    </row>
    <row r="273" spans="2:7" ht="24.95" customHeight="1" thickTop="1" thickBot="1" x14ac:dyDescent="0.3">
      <c r="B273" s="92"/>
      <c r="C273" s="320" t="s">
        <v>186</v>
      </c>
      <c r="D273" s="321"/>
      <c r="E273" s="322" t="s">
        <v>187</v>
      </c>
      <c r="F273" s="323"/>
      <c r="G273" s="91"/>
    </row>
    <row r="274" spans="2:7" ht="24.95" customHeight="1" thickTop="1" x14ac:dyDescent="0.25">
      <c r="B274" s="92"/>
      <c r="C274" s="92"/>
      <c r="D274" s="103"/>
      <c r="E274" s="94"/>
      <c r="F274" s="108"/>
      <c r="G274" s="91"/>
    </row>
    <row r="275" spans="2:7" ht="24.95" customHeight="1" x14ac:dyDescent="0.35">
      <c r="B275" s="92"/>
      <c r="C275" s="324" t="s">
        <v>4</v>
      </c>
      <c r="D275" s="325">
        <f>Monthly!G24</f>
        <v>1224</v>
      </c>
      <c r="E275" s="326" t="s">
        <v>10</v>
      </c>
      <c r="F275" s="327">
        <f>Monthly!L24</f>
        <v>0</v>
      </c>
      <c r="G275" s="91"/>
    </row>
    <row r="276" spans="2:7" ht="24.95" customHeight="1" x14ac:dyDescent="0.35">
      <c r="B276" s="92"/>
      <c r="C276" s="324" t="s">
        <v>221</v>
      </c>
      <c r="D276" s="325">
        <f>Monthly!H24</f>
        <v>0</v>
      </c>
      <c r="E276" s="326" t="s">
        <v>11</v>
      </c>
      <c r="F276" s="327">
        <f>Monthly!M24</f>
        <v>61.2</v>
      </c>
      <c r="G276" s="91"/>
    </row>
    <row r="277" spans="2:7" ht="24.95" customHeight="1" x14ac:dyDescent="0.35">
      <c r="B277" s="92"/>
      <c r="C277" s="324" t="s">
        <v>258</v>
      </c>
      <c r="D277" s="325">
        <f>Monthly!I24</f>
        <v>0</v>
      </c>
      <c r="E277" s="326" t="s">
        <v>252</v>
      </c>
      <c r="F277" s="327">
        <f>Monthly!N24</f>
        <v>20</v>
      </c>
      <c r="G277" s="91"/>
    </row>
    <row r="278" spans="2:7" ht="24.95" customHeight="1" x14ac:dyDescent="0.35">
      <c r="B278" s="92"/>
      <c r="C278" s="324" t="s">
        <v>213</v>
      </c>
      <c r="D278" s="325">
        <f>Monthly!J24</f>
        <v>0</v>
      </c>
      <c r="E278" s="326" t="s">
        <v>259</v>
      </c>
      <c r="F278" s="327">
        <f>Monthly!O24</f>
        <v>0</v>
      </c>
      <c r="G278" s="91"/>
    </row>
    <row r="279" spans="2:7" ht="24.95" customHeight="1" thickBot="1" x14ac:dyDescent="0.3">
      <c r="B279" s="92"/>
      <c r="C279" s="95"/>
      <c r="D279" s="105"/>
      <c r="E279" s="96"/>
      <c r="F279" s="110"/>
      <c r="G279" s="91"/>
    </row>
    <row r="280" spans="2:7" ht="24.95" customHeight="1" thickTop="1" thickBot="1" x14ac:dyDescent="0.3">
      <c r="B280" s="92"/>
      <c r="C280" s="90"/>
      <c r="D280" s="101"/>
      <c r="E280" s="90"/>
      <c r="F280" s="101"/>
      <c r="G280" s="91"/>
    </row>
    <row r="281" spans="2:7" ht="24.95" customHeight="1" thickTop="1" thickBot="1" x14ac:dyDescent="0.4">
      <c r="B281" s="92"/>
      <c r="C281" s="332" t="s">
        <v>261</v>
      </c>
      <c r="D281" s="333">
        <f>SUM(D275:D279)</f>
        <v>1224</v>
      </c>
      <c r="E281" s="332" t="s">
        <v>192</v>
      </c>
      <c r="F281" s="333">
        <f>SUM(F275:F279)</f>
        <v>81.2</v>
      </c>
      <c r="G281" s="91"/>
    </row>
    <row r="282" spans="2:7" ht="24.95" customHeight="1" thickTop="1" x14ac:dyDescent="0.3">
      <c r="B282" s="92"/>
      <c r="C282" s="318"/>
      <c r="D282" s="319"/>
      <c r="E282" s="318"/>
      <c r="F282" s="319"/>
      <c r="G282" s="91"/>
    </row>
    <row r="283" spans="2:7" ht="24.95" customHeight="1" thickBot="1" x14ac:dyDescent="0.35">
      <c r="B283" s="92"/>
      <c r="C283" s="318"/>
      <c r="D283" s="319"/>
      <c r="E283" s="318"/>
      <c r="F283" s="319"/>
      <c r="G283" s="91"/>
    </row>
    <row r="284" spans="2:7" ht="24.95" customHeight="1" thickTop="1" thickBot="1" x14ac:dyDescent="0.4">
      <c r="B284" s="92"/>
      <c r="C284" s="332" t="s">
        <v>193</v>
      </c>
      <c r="D284" s="333">
        <f>D281-F281</f>
        <v>1142.8</v>
      </c>
      <c r="E284" s="318"/>
      <c r="F284" s="319"/>
      <c r="G284" s="91"/>
    </row>
    <row r="285" spans="2:7" ht="24.95" customHeight="1" thickTop="1" thickBot="1" x14ac:dyDescent="0.3">
      <c r="B285" s="95"/>
      <c r="C285" s="98"/>
      <c r="D285" s="107"/>
      <c r="E285" s="98"/>
      <c r="F285" s="107"/>
      <c r="G285" s="97"/>
    </row>
    <row r="286" spans="2:7" ht="24.95" customHeight="1" thickTop="1" x14ac:dyDescent="0.25"/>
    <row r="289" spans="2:7" ht="24.95" customHeight="1" thickBot="1" x14ac:dyDescent="0.3"/>
    <row r="290" spans="2:7" ht="24.95" customHeight="1" thickTop="1" thickBot="1" x14ac:dyDescent="0.3">
      <c r="B290" s="336" t="s">
        <v>184</v>
      </c>
      <c r="C290" s="336" t="s">
        <v>185</v>
      </c>
      <c r="D290" s="100"/>
      <c r="E290" s="87"/>
      <c r="F290" s="100"/>
      <c r="G290" s="88"/>
    </row>
    <row r="291" spans="2:7" ht="24.95" customHeight="1" thickTop="1" thickBot="1" x14ac:dyDescent="0.35">
      <c r="B291" s="317" t="str">
        <f>Monthly!A25</f>
        <v>Merril Modoo</v>
      </c>
      <c r="C291" s="337" t="str">
        <f>Monthly!$A$4</f>
        <v xml:space="preserve"> 30th April  2021</v>
      </c>
      <c r="D291" s="101"/>
      <c r="E291" s="90"/>
      <c r="F291" s="334" t="s">
        <v>219</v>
      </c>
      <c r="G291" s="335"/>
    </row>
    <row r="292" spans="2:7" ht="24.95" customHeight="1" thickTop="1" x14ac:dyDescent="0.3">
      <c r="B292" s="92"/>
      <c r="C292" s="90"/>
      <c r="D292" s="101"/>
      <c r="E292" s="90"/>
      <c r="F292" s="334" t="s">
        <v>222</v>
      </c>
      <c r="G292" s="335"/>
    </row>
    <row r="293" spans="2:7" ht="24.95" customHeight="1" x14ac:dyDescent="0.3">
      <c r="B293" s="92"/>
      <c r="C293" s="90"/>
      <c r="D293" s="101"/>
      <c r="E293" s="90"/>
      <c r="F293" s="334" t="s">
        <v>61</v>
      </c>
      <c r="G293" s="335"/>
    </row>
    <row r="294" spans="2:7" ht="24.95" customHeight="1" x14ac:dyDescent="0.25">
      <c r="B294" s="92"/>
      <c r="C294" s="90"/>
      <c r="D294" s="101"/>
      <c r="E294" s="90"/>
      <c r="F294" s="101"/>
      <c r="G294" s="91"/>
    </row>
    <row r="295" spans="2:7" ht="24.95" customHeight="1" x14ac:dyDescent="0.25">
      <c r="B295" s="92"/>
      <c r="C295" s="90"/>
      <c r="D295" s="101"/>
      <c r="E295" s="90"/>
      <c r="F295" s="101"/>
      <c r="G295" s="91"/>
    </row>
    <row r="296" spans="2:7" ht="24.95" customHeight="1" thickBot="1" x14ac:dyDescent="0.3">
      <c r="B296" s="92"/>
      <c r="C296" s="90"/>
      <c r="D296" s="101"/>
      <c r="E296" s="90"/>
      <c r="F296" s="101"/>
      <c r="G296" s="91"/>
    </row>
    <row r="297" spans="2:7" ht="24.95" customHeight="1" thickTop="1" thickBot="1" x14ac:dyDescent="0.3">
      <c r="B297" s="92"/>
      <c r="C297" s="320" t="s">
        <v>186</v>
      </c>
      <c r="D297" s="321"/>
      <c r="E297" s="322" t="s">
        <v>187</v>
      </c>
      <c r="F297" s="323"/>
      <c r="G297" s="91"/>
    </row>
    <row r="298" spans="2:7" ht="24.95" customHeight="1" thickTop="1" x14ac:dyDescent="0.25">
      <c r="B298" s="92"/>
      <c r="C298" s="92"/>
      <c r="D298" s="103"/>
      <c r="E298" s="94"/>
      <c r="F298" s="108"/>
      <c r="G298" s="91"/>
    </row>
    <row r="299" spans="2:7" ht="24.95" customHeight="1" x14ac:dyDescent="0.35">
      <c r="B299" s="92"/>
      <c r="C299" s="324" t="s">
        <v>4</v>
      </c>
      <c r="D299" s="325">
        <f>Monthly!G25</f>
        <v>1530.73</v>
      </c>
      <c r="E299" s="326" t="s">
        <v>10</v>
      </c>
      <c r="F299" s="327">
        <f>Monthly!L25</f>
        <v>0</v>
      </c>
      <c r="G299" s="91"/>
    </row>
    <row r="300" spans="2:7" ht="24.95" customHeight="1" x14ac:dyDescent="0.35">
      <c r="B300" s="92"/>
      <c r="C300" s="324" t="s">
        <v>221</v>
      </c>
      <c r="D300" s="325">
        <f>Monthly!H25</f>
        <v>0</v>
      </c>
      <c r="E300" s="326" t="s">
        <v>11</v>
      </c>
      <c r="F300" s="327">
        <f>Monthly!M25</f>
        <v>76.540000000000006</v>
      </c>
      <c r="G300" s="91"/>
    </row>
    <row r="301" spans="2:7" ht="24.95" customHeight="1" x14ac:dyDescent="0.35">
      <c r="B301" s="92"/>
      <c r="C301" s="324" t="s">
        <v>258</v>
      </c>
      <c r="D301" s="325">
        <f>Monthly!I25</f>
        <v>0</v>
      </c>
      <c r="E301" s="326" t="s">
        <v>252</v>
      </c>
      <c r="F301" s="327">
        <f>Monthly!N25</f>
        <v>25</v>
      </c>
      <c r="G301" s="91"/>
    </row>
    <row r="302" spans="2:7" ht="24.95" customHeight="1" x14ac:dyDescent="0.35">
      <c r="B302" s="92"/>
      <c r="C302" s="324" t="s">
        <v>213</v>
      </c>
      <c r="D302" s="325">
        <f>Monthly!J25</f>
        <v>0</v>
      </c>
      <c r="E302" s="326" t="s">
        <v>259</v>
      </c>
      <c r="F302" s="327">
        <f>Monthly!O25</f>
        <v>0</v>
      </c>
      <c r="G302" s="91"/>
    </row>
    <row r="303" spans="2:7" ht="24.95" customHeight="1" thickBot="1" x14ac:dyDescent="0.3">
      <c r="B303" s="92"/>
      <c r="C303" s="95"/>
      <c r="D303" s="105"/>
      <c r="E303" s="96"/>
      <c r="F303" s="110"/>
      <c r="G303" s="91"/>
    </row>
    <row r="304" spans="2:7" ht="24.95" customHeight="1" thickTop="1" thickBot="1" x14ac:dyDescent="0.3">
      <c r="B304" s="92"/>
      <c r="C304" s="90"/>
      <c r="D304" s="101"/>
      <c r="E304" s="90"/>
      <c r="F304" s="101"/>
      <c r="G304" s="91"/>
    </row>
    <row r="305" spans="2:7" ht="24.95" customHeight="1" thickTop="1" thickBot="1" x14ac:dyDescent="0.4">
      <c r="B305" s="92"/>
      <c r="C305" s="332" t="s">
        <v>261</v>
      </c>
      <c r="D305" s="333">
        <f>SUM(D299:D303)</f>
        <v>1530.73</v>
      </c>
      <c r="E305" s="332" t="s">
        <v>192</v>
      </c>
      <c r="F305" s="333">
        <f>SUM(F299:F303)</f>
        <v>101.54</v>
      </c>
      <c r="G305" s="91"/>
    </row>
    <row r="306" spans="2:7" ht="24.95" customHeight="1" thickTop="1" x14ac:dyDescent="0.3">
      <c r="B306" s="92"/>
      <c r="C306" s="318"/>
      <c r="D306" s="319"/>
      <c r="E306" s="318"/>
      <c r="F306" s="319"/>
      <c r="G306" s="91"/>
    </row>
    <row r="307" spans="2:7" ht="24.95" customHeight="1" thickBot="1" x14ac:dyDescent="0.35">
      <c r="B307" s="92"/>
      <c r="C307" s="318"/>
      <c r="D307" s="319"/>
      <c r="E307" s="318"/>
      <c r="F307" s="319"/>
      <c r="G307" s="91"/>
    </row>
    <row r="308" spans="2:7" ht="24.95" customHeight="1" thickTop="1" thickBot="1" x14ac:dyDescent="0.4">
      <c r="B308" s="92"/>
      <c r="C308" s="332" t="s">
        <v>193</v>
      </c>
      <c r="D308" s="333">
        <f>D305-F305</f>
        <v>1429.19</v>
      </c>
      <c r="E308" s="318"/>
      <c r="F308" s="319"/>
      <c r="G308" s="91"/>
    </row>
    <row r="309" spans="2:7" ht="24.95" customHeight="1" thickTop="1" thickBot="1" x14ac:dyDescent="0.3">
      <c r="B309" s="95"/>
      <c r="C309" s="98"/>
      <c r="D309" s="107"/>
      <c r="E309" s="98"/>
      <c r="F309" s="107"/>
      <c r="G309" s="97"/>
    </row>
    <row r="310" spans="2:7" ht="24.95" customHeight="1" thickTop="1" x14ac:dyDescent="0.25"/>
    <row r="313" spans="2:7" ht="24.95" customHeight="1" thickBot="1" x14ac:dyDescent="0.3"/>
    <row r="314" spans="2:7" ht="24.95" customHeight="1" thickTop="1" thickBot="1" x14ac:dyDescent="0.3">
      <c r="B314" s="336" t="s">
        <v>184</v>
      </c>
      <c r="C314" s="336" t="s">
        <v>185</v>
      </c>
      <c r="D314" s="100"/>
      <c r="E314" s="87"/>
      <c r="F314" s="100"/>
      <c r="G314" s="88"/>
    </row>
    <row r="315" spans="2:7" ht="24.95" customHeight="1" thickTop="1" thickBot="1" x14ac:dyDescent="0.35">
      <c r="B315" s="317" t="str">
        <f>Monthly!A26</f>
        <v>Onika Phillip</v>
      </c>
      <c r="C315" s="337" t="str">
        <f>Monthly!$A$4</f>
        <v xml:space="preserve"> 30th April  2021</v>
      </c>
      <c r="D315" s="101"/>
      <c r="E315" s="90"/>
      <c r="F315" s="334" t="s">
        <v>219</v>
      </c>
      <c r="G315" s="335"/>
    </row>
    <row r="316" spans="2:7" ht="24.95" customHeight="1" thickTop="1" x14ac:dyDescent="0.3">
      <c r="B316" s="92"/>
      <c r="C316" s="90"/>
      <c r="D316" s="101"/>
      <c r="E316" s="90"/>
      <c r="F316" s="334" t="s">
        <v>222</v>
      </c>
      <c r="G316" s="335"/>
    </row>
    <row r="317" spans="2:7" ht="24.95" customHeight="1" x14ac:dyDescent="0.3">
      <c r="B317" s="92"/>
      <c r="C317" s="90"/>
      <c r="D317" s="101"/>
      <c r="E317" s="90"/>
      <c r="F317" s="334" t="s">
        <v>61</v>
      </c>
      <c r="G317" s="335"/>
    </row>
    <row r="318" spans="2:7" ht="24.95" customHeight="1" x14ac:dyDescent="0.25">
      <c r="B318" s="92"/>
      <c r="C318" s="90"/>
      <c r="D318" s="101"/>
      <c r="E318" s="90"/>
      <c r="F318" s="101"/>
      <c r="G318" s="91"/>
    </row>
    <row r="319" spans="2:7" ht="24.95" customHeight="1" x14ac:dyDescent="0.25">
      <c r="B319" s="92"/>
      <c r="C319" s="90"/>
      <c r="D319" s="101"/>
      <c r="E319" s="90"/>
      <c r="F319" s="101"/>
      <c r="G319" s="91"/>
    </row>
    <row r="320" spans="2:7" ht="24.95" customHeight="1" thickBot="1" x14ac:dyDescent="0.3">
      <c r="B320" s="92"/>
      <c r="C320" s="90"/>
      <c r="D320" s="101"/>
      <c r="E320" s="90"/>
      <c r="F320" s="101"/>
      <c r="G320" s="91"/>
    </row>
    <row r="321" spans="2:7" ht="24.95" customHeight="1" thickTop="1" thickBot="1" x14ac:dyDescent="0.3">
      <c r="B321" s="92"/>
      <c r="C321" s="320" t="s">
        <v>186</v>
      </c>
      <c r="D321" s="321"/>
      <c r="E321" s="322" t="s">
        <v>187</v>
      </c>
      <c r="F321" s="323"/>
      <c r="G321" s="91"/>
    </row>
    <row r="322" spans="2:7" ht="24.95" customHeight="1" thickTop="1" x14ac:dyDescent="0.25">
      <c r="B322" s="92"/>
      <c r="C322" s="92"/>
      <c r="D322" s="103"/>
      <c r="E322" s="94"/>
      <c r="F322" s="108"/>
      <c r="G322" s="91"/>
    </row>
    <row r="323" spans="2:7" ht="24.95" customHeight="1" x14ac:dyDescent="0.35">
      <c r="B323" s="92"/>
      <c r="C323" s="324" t="s">
        <v>4</v>
      </c>
      <c r="D323" s="325">
        <f>Monthly!G26</f>
        <v>1000</v>
      </c>
      <c r="E323" s="326" t="s">
        <v>10</v>
      </c>
      <c r="F323" s="327">
        <f>Monthly!L26</f>
        <v>0</v>
      </c>
      <c r="G323" s="91"/>
    </row>
    <row r="324" spans="2:7" ht="24.95" customHeight="1" x14ac:dyDescent="0.35">
      <c r="B324" s="92"/>
      <c r="C324" s="324" t="s">
        <v>221</v>
      </c>
      <c r="D324" s="325">
        <f>Monthly!H26</f>
        <v>0</v>
      </c>
      <c r="E324" s="326" t="s">
        <v>11</v>
      </c>
      <c r="F324" s="327">
        <f>Monthly!M26</f>
        <v>50</v>
      </c>
      <c r="G324" s="91"/>
    </row>
    <row r="325" spans="2:7" ht="24.95" customHeight="1" x14ac:dyDescent="0.35">
      <c r="B325" s="92"/>
      <c r="C325" s="324" t="s">
        <v>258</v>
      </c>
      <c r="D325" s="325">
        <f>Monthly!I26</f>
        <v>0</v>
      </c>
      <c r="E325" s="326" t="s">
        <v>252</v>
      </c>
      <c r="F325" s="327">
        <f>Monthly!N26</f>
        <v>0</v>
      </c>
      <c r="G325" s="91"/>
    </row>
    <row r="326" spans="2:7" ht="24.95" customHeight="1" x14ac:dyDescent="0.35">
      <c r="B326" s="92"/>
      <c r="C326" s="324" t="s">
        <v>213</v>
      </c>
      <c r="D326" s="325">
        <f>Monthly!J26</f>
        <v>0</v>
      </c>
      <c r="E326" s="326" t="s">
        <v>259</v>
      </c>
      <c r="F326" s="327">
        <f>Monthly!O26</f>
        <v>0</v>
      </c>
      <c r="G326" s="91"/>
    </row>
    <row r="327" spans="2:7" ht="24.95" customHeight="1" thickBot="1" x14ac:dyDescent="0.3">
      <c r="B327" s="92"/>
      <c r="C327" s="95"/>
      <c r="D327" s="105"/>
      <c r="E327" s="96"/>
      <c r="F327" s="110"/>
      <c r="G327" s="91"/>
    </row>
    <row r="328" spans="2:7" ht="24.95" customHeight="1" thickTop="1" thickBot="1" x14ac:dyDescent="0.3">
      <c r="B328" s="92"/>
      <c r="C328" s="90"/>
      <c r="D328" s="101"/>
      <c r="E328" s="90"/>
      <c r="F328" s="101"/>
      <c r="G328" s="91"/>
    </row>
    <row r="329" spans="2:7" ht="24.95" customHeight="1" thickTop="1" thickBot="1" x14ac:dyDescent="0.4">
      <c r="B329" s="92"/>
      <c r="C329" s="332" t="s">
        <v>261</v>
      </c>
      <c r="D329" s="333">
        <f>SUM(D323:D327)</f>
        <v>1000</v>
      </c>
      <c r="E329" s="332" t="s">
        <v>192</v>
      </c>
      <c r="F329" s="333">
        <f>SUM(F323:F327)</f>
        <v>50</v>
      </c>
      <c r="G329" s="91"/>
    </row>
    <row r="330" spans="2:7" ht="24.95" customHeight="1" thickTop="1" x14ac:dyDescent="0.3">
      <c r="B330" s="92"/>
      <c r="C330" s="318"/>
      <c r="D330" s="319"/>
      <c r="E330" s="318"/>
      <c r="F330" s="319"/>
      <c r="G330" s="91"/>
    </row>
    <row r="331" spans="2:7" ht="24.95" customHeight="1" thickBot="1" x14ac:dyDescent="0.35">
      <c r="B331" s="92"/>
      <c r="C331" s="318"/>
      <c r="D331" s="319"/>
      <c r="E331" s="318"/>
      <c r="F331" s="319"/>
      <c r="G331" s="91"/>
    </row>
    <row r="332" spans="2:7" ht="24.95" customHeight="1" thickTop="1" thickBot="1" x14ac:dyDescent="0.4">
      <c r="B332" s="92"/>
      <c r="C332" s="332" t="s">
        <v>193</v>
      </c>
      <c r="D332" s="333">
        <f>D329-F329</f>
        <v>950</v>
      </c>
      <c r="E332" s="318"/>
      <c r="F332" s="319"/>
      <c r="G332" s="91"/>
    </row>
    <row r="333" spans="2:7" ht="24.95" customHeight="1" thickTop="1" thickBot="1" x14ac:dyDescent="0.3">
      <c r="B333" s="95"/>
      <c r="C333" s="98"/>
      <c r="D333" s="107"/>
      <c r="E333" s="98"/>
      <c r="F333" s="107"/>
      <c r="G333" s="97"/>
    </row>
    <row r="334" spans="2:7" ht="24.95" customHeight="1" thickTop="1" x14ac:dyDescent="0.25"/>
    <row r="337" spans="2:7" ht="24.95" customHeight="1" thickBot="1" x14ac:dyDescent="0.3"/>
    <row r="338" spans="2:7" ht="24.95" customHeight="1" thickTop="1" thickBot="1" x14ac:dyDescent="0.3">
      <c r="B338" s="336" t="s">
        <v>184</v>
      </c>
      <c r="C338" s="336" t="s">
        <v>185</v>
      </c>
      <c r="D338" s="100"/>
      <c r="E338" s="87"/>
      <c r="F338" s="100"/>
      <c r="G338" s="88"/>
    </row>
    <row r="339" spans="2:7" ht="24.95" customHeight="1" thickTop="1" thickBot="1" x14ac:dyDescent="0.35">
      <c r="B339" s="317" t="e">
        <f>#REF!</f>
        <v>#REF!</v>
      </c>
      <c r="C339" s="337" t="str">
        <f>Monthly!$A$4</f>
        <v xml:space="preserve"> 30th April  2021</v>
      </c>
      <c r="D339" s="101"/>
      <c r="E339" s="90"/>
      <c r="F339" s="334" t="s">
        <v>219</v>
      </c>
      <c r="G339" s="335"/>
    </row>
    <row r="340" spans="2:7" ht="24.95" customHeight="1" thickTop="1" x14ac:dyDescent="0.3">
      <c r="B340" s="92"/>
      <c r="C340" s="90"/>
      <c r="D340" s="101"/>
      <c r="E340" s="90"/>
      <c r="F340" s="334" t="s">
        <v>222</v>
      </c>
      <c r="G340" s="335"/>
    </row>
    <row r="341" spans="2:7" ht="24.95" customHeight="1" x14ac:dyDescent="0.3">
      <c r="B341" s="92"/>
      <c r="C341" s="90"/>
      <c r="D341" s="101"/>
      <c r="E341" s="90"/>
      <c r="F341" s="334" t="s">
        <v>61</v>
      </c>
      <c r="G341" s="335"/>
    </row>
    <row r="342" spans="2:7" ht="24.95" customHeight="1" x14ac:dyDescent="0.25">
      <c r="B342" s="92"/>
      <c r="C342" s="90"/>
      <c r="D342" s="101"/>
      <c r="E342" s="90"/>
      <c r="F342" s="101"/>
      <c r="G342" s="91"/>
    </row>
    <row r="343" spans="2:7" ht="24.95" customHeight="1" x14ac:dyDescent="0.25">
      <c r="B343" s="92"/>
      <c r="C343" s="90"/>
      <c r="D343" s="101"/>
      <c r="E343" s="90"/>
      <c r="F343" s="101"/>
      <c r="G343" s="91"/>
    </row>
    <row r="344" spans="2:7" ht="24.95" customHeight="1" thickBot="1" x14ac:dyDescent="0.3">
      <c r="B344" s="92"/>
      <c r="C344" s="90"/>
      <c r="D344" s="101"/>
      <c r="E344" s="90"/>
      <c r="F344" s="101"/>
      <c r="G344" s="91"/>
    </row>
    <row r="345" spans="2:7" ht="24.95" customHeight="1" thickTop="1" thickBot="1" x14ac:dyDescent="0.3">
      <c r="B345" s="92"/>
      <c r="C345" s="320" t="s">
        <v>186</v>
      </c>
      <c r="D345" s="321"/>
      <c r="E345" s="322" t="s">
        <v>187</v>
      </c>
      <c r="F345" s="323"/>
      <c r="G345" s="91"/>
    </row>
    <row r="346" spans="2:7" ht="24.95" customHeight="1" thickTop="1" x14ac:dyDescent="0.25">
      <c r="B346" s="92"/>
      <c r="C346" s="92"/>
      <c r="D346" s="103"/>
      <c r="E346" s="94"/>
      <c r="F346" s="108"/>
      <c r="G346" s="91"/>
    </row>
    <row r="347" spans="2:7" ht="24.95" customHeight="1" x14ac:dyDescent="0.35">
      <c r="B347" s="92"/>
      <c r="C347" s="324" t="s">
        <v>4</v>
      </c>
      <c r="D347" s="325">
        <f>Monthly!G344</f>
        <v>0</v>
      </c>
      <c r="E347" s="326" t="s">
        <v>10</v>
      </c>
      <c r="F347" s="327">
        <f>Monthly!L344</f>
        <v>0</v>
      </c>
      <c r="G347" s="91"/>
    </row>
    <row r="348" spans="2:7" ht="24.95" customHeight="1" x14ac:dyDescent="0.35">
      <c r="B348" s="92"/>
      <c r="C348" s="324" t="s">
        <v>221</v>
      </c>
      <c r="D348" s="325">
        <f>Monthly!H344</f>
        <v>0</v>
      </c>
      <c r="E348" s="326" t="s">
        <v>11</v>
      </c>
      <c r="F348" s="327">
        <f>Monthly!M344</f>
        <v>0</v>
      </c>
      <c r="G348" s="91"/>
    </row>
    <row r="349" spans="2:7" ht="24.95" customHeight="1" x14ac:dyDescent="0.35">
      <c r="B349" s="92"/>
      <c r="C349" s="324" t="s">
        <v>258</v>
      </c>
      <c r="D349" s="325">
        <f>Monthly!I343</f>
        <v>0</v>
      </c>
      <c r="E349" s="326" t="s">
        <v>252</v>
      </c>
      <c r="F349" s="327">
        <f>Monthly!O344</f>
        <v>0</v>
      </c>
      <c r="G349" s="91"/>
    </row>
    <row r="350" spans="2:7" ht="24.95" customHeight="1" x14ac:dyDescent="0.35">
      <c r="B350" s="92"/>
      <c r="C350" s="324" t="s">
        <v>213</v>
      </c>
      <c r="D350" s="325">
        <f>Monthly!J344</f>
        <v>0</v>
      </c>
      <c r="E350" s="326" t="s">
        <v>259</v>
      </c>
      <c r="F350" s="327">
        <f>Monthly!N344</f>
        <v>0</v>
      </c>
      <c r="G350" s="91"/>
    </row>
    <row r="351" spans="2:7" ht="24.95" customHeight="1" thickBot="1" x14ac:dyDescent="0.3">
      <c r="B351" s="92"/>
      <c r="C351" s="95"/>
      <c r="D351" s="105"/>
      <c r="E351" s="96" t="s">
        <v>8</v>
      </c>
      <c r="F351" s="110"/>
      <c r="G351" s="91"/>
    </row>
    <row r="352" spans="2:7" ht="24.95" customHeight="1" thickTop="1" thickBot="1" x14ac:dyDescent="0.3">
      <c r="B352" s="92"/>
      <c r="C352" s="90"/>
      <c r="D352" s="101"/>
      <c r="E352" s="90"/>
      <c r="F352" s="101"/>
      <c r="G352" s="91"/>
    </row>
    <row r="353" spans="2:7" ht="24.95" customHeight="1" thickTop="1" thickBot="1" x14ac:dyDescent="0.4">
      <c r="B353" s="92"/>
      <c r="C353" s="332" t="s">
        <v>261</v>
      </c>
      <c r="D353" s="333">
        <f>SUM(D347:D351)</f>
        <v>0</v>
      </c>
      <c r="E353" s="332" t="s">
        <v>192</v>
      </c>
      <c r="F353" s="333">
        <f>SUM(F347:F351)</f>
        <v>0</v>
      </c>
      <c r="G353" s="91"/>
    </row>
    <row r="354" spans="2:7" ht="24.95" customHeight="1" thickTop="1" x14ac:dyDescent="0.3">
      <c r="B354" s="92"/>
      <c r="C354" s="318"/>
      <c r="D354" s="319"/>
      <c r="E354" s="318"/>
      <c r="F354" s="319"/>
      <c r="G354" s="91"/>
    </row>
    <row r="355" spans="2:7" ht="24.95" customHeight="1" thickBot="1" x14ac:dyDescent="0.35">
      <c r="B355" s="92"/>
      <c r="C355" s="318"/>
      <c r="D355" s="319"/>
      <c r="E355" s="318"/>
      <c r="F355" s="319"/>
      <c r="G355" s="91"/>
    </row>
    <row r="356" spans="2:7" ht="24.95" customHeight="1" thickTop="1" thickBot="1" x14ac:dyDescent="0.4">
      <c r="B356" s="92"/>
      <c r="C356" s="332" t="s">
        <v>193</v>
      </c>
      <c r="D356" s="333">
        <f>D353-F353</f>
        <v>0</v>
      </c>
      <c r="E356" s="318"/>
      <c r="F356" s="319"/>
      <c r="G356" s="91"/>
    </row>
    <row r="357" spans="2:7" ht="24.95" customHeight="1" thickTop="1" thickBot="1" x14ac:dyDescent="0.3">
      <c r="B357" s="95"/>
      <c r="C357" s="98"/>
      <c r="D357" s="107"/>
      <c r="E357" s="98"/>
      <c r="F357" s="107"/>
      <c r="G357" s="97"/>
    </row>
    <row r="358" spans="2:7" ht="24.95" customHeight="1" thickTop="1" x14ac:dyDescent="0.25"/>
    <row r="361" spans="2:7" ht="24.95" customHeight="1" thickBot="1" x14ac:dyDescent="0.3"/>
    <row r="362" spans="2:7" ht="24.95" customHeight="1" thickTop="1" thickBot="1" x14ac:dyDescent="0.3">
      <c r="B362" s="336" t="s">
        <v>184</v>
      </c>
      <c r="C362" s="336" t="s">
        <v>185</v>
      </c>
      <c r="D362" s="100"/>
      <c r="E362" s="87"/>
      <c r="F362" s="100"/>
      <c r="G362" s="88"/>
    </row>
    <row r="363" spans="2:7" ht="24.95" customHeight="1" thickTop="1" thickBot="1" x14ac:dyDescent="0.35">
      <c r="B363" s="317" t="e">
        <f>#REF!</f>
        <v>#REF!</v>
      </c>
      <c r="C363" s="337" t="str">
        <f>Monthly!$A$4</f>
        <v xml:space="preserve"> 30th April  2021</v>
      </c>
      <c r="D363" s="101"/>
      <c r="E363" s="90"/>
      <c r="F363" s="334" t="s">
        <v>219</v>
      </c>
      <c r="G363" s="335"/>
    </row>
    <row r="364" spans="2:7" ht="24.95" customHeight="1" thickTop="1" x14ac:dyDescent="0.3">
      <c r="B364" s="92"/>
      <c r="C364" s="90"/>
      <c r="D364" s="101"/>
      <c r="E364" s="90"/>
      <c r="F364" s="334" t="s">
        <v>222</v>
      </c>
      <c r="G364" s="335"/>
    </row>
    <row r="365" spans="2:7" ht="24.95" customHeight="1" x14ac:dyDescent="0.3">
      <c r="B365" s="92"/>
      <c r="C365" s="90"/>
      <c r="D365" s="101"/>
      <c r="E365" s="90"/>
      <c r="F365" s="334" t="s">
        <v>61</v>
      </c>
      <c r="G365" s="335"/>
    </row>
    <row r="366" spans="2:7" ht="24.95" customHeight="1" x14ac:dyDescent="0.25">
      <c r="B366" s="92"/>
      <c r="C366" s="90"/>
      <c r="D366" s="101"/>
      <c r="E366" s="90"/>
      <c r="F366" s="101"/>
      <c r="G366" s="91"/>
    </row>
    <row r="367" spans="2:7" ht="24.95" customHeight="1" x14ac:dyDescent="0.25">
      <c r="B367" s="92"/>
      <c r="C367" s="90"/>
      <c r="D367" s="101"/>
      <c r="E367" s="90"/>
      <c r="F367" s="101"/>
      <c r="G367" s="91"/>
    </row>
    <row r="368" spans="2:7" ht="24.95" customHeight="1" thickBot="1" x14ac:dyDescent="0.3">
      <c r="B368" s="92"/>
      <c r="C368" s="90"/>
      <c r="D368" s="101"/>
      <c r="E368" s="90"/>
      <c r="F368" s="101"/>
      <c r="G368" s="91"/>
    </row>
    <row r="369" spans="2:7" ht="24.95" customHeight="1" thickTop="1" thickBot="1" x14ac:dyDescent="0.3">
      <c r="B369" s="92"/>
      <c r="C369" s="320" t="s">
        <v>186</v>
      </c>
      <c r="D369" s="321"/>
      <c r="E369" s="322" t="s">
        <v>187</v>
      </c>
      <c r="F369" s="323"/>
      <c r="G369" s="91"/>
    </row>
    <row r="370" spans="2:7" ht="24.95" customHeight="1" thickTop="1" x14ac:dyDescent="0.25">
      <c r="B370" s="92"/>
      <c r="C370" s="92"/>
      <c r="D370" s="103"/>
      <c r="E370" s="94"/>
      <c r="F370" s="108"/>
      <c r="G370" s="91"/>
    </row>
    <row r="371" spans="2:7" ht="24.95" customHeight="1" x14ac:dyDescent="0.35">
      <c r="B371" s="92"/>
      <c r="C371" s="324" t="s">
        <v>4</v>
      </c>
      <c r="D371" s="325">
        <f>Monthly!G368</f>
        <v>0</v>
      </c>
      <c r="E371" s="326" t="s">
        <v>10</v>
      </c>
      <c r="F371" s="327">
        <f>Monthly!L368</f>
        <v>0</v>
      </c>
      <c r="G371" s="91"/>
    </row>
    <row r="372" spans="2:7" ht="24.95" customHeight="1" x14ac:dyDescent="0.35">
      <c r="B372" s="92"/>
      <c r="C372" s="324" t="s">
        <v>221</v>
      </c>
      <c r="D372" s="325">
        <f>Monthly!H368</f>
        <v>0</v>
      </c>
      <c r="E372" s="326" t="s">
        <v>11</v>
      </c>
      <c r="F372" s="327">
        <f>Monthly!M368</f>
        <v>0</v>
      </c>
      <c r="G372" s="91"/>
    </row>
    <row r="373" spans="2:7" ht="24.95" customHeight="1" x14ac:dyDescent="0.35">
      <c r="B373" s="92"/>
      <c r="C373" s="324" t="s">
        <v>258</v>
      </c>
      <c r="D373" s="325">
        <f>Monthly!I367</f>
        <v>0</v>
      </c>
      <c r="E373" s="326" t="s">
        <v>252</v>
      </c>
      <c r="F373" s="327">
        <f>Monthly!O368</f>
        <v>0</v>
      </c>
      <c r="G373" s="91"/>
    </row>
    <row r="374" spans="2:7" ht="24.95" customHeight="1" x14ac:dyDescent="0.35">
      <c r="B374" s="92"/>
      <c r="C374" s="324" t="s">
        <v>213</v>
      </c>
      <c r="D374" s="325">
        <f>Monthly!J368</f>
        <v>0</v>
      </c>
      <c r="E374" s="326" t="s">
        <v>259</v>
      </c>
      <c r="F374" s="327">
        <f>Monthly!N368</f>
        <v>0</v>
      </c>
      <c r="G374" s="91"/>
    </row>
    <row r="375" spans="2:7" ht="24.95" customHeight="1" thickBot="1" x14ac:dyDescent="0.3">
      <c r="B375" s="92"/>
      <c r="C375" s="95"/>
      <c r="D375" s="105"/>
      <c r="E375" s="96" t="s">
        <v>8</v>
      </c>
      <c r="F375" s="110" t="e">
        <f>#REF!</f>
        <v>#REF!</v>
      </c>
      <c r="G375" s="91"/>
    </row>
    <row r="376" spans="2:7" ht="24.95" customHeight="1" thickTop="1" thickBot="1" x14ac:dyDescent="0.3">
      <c r="B376" s="92"/>
      <c r="C376" s="90"/>
      <c r="D376" s="101"/>
      <c r="E376" s="90"/>
      <c r="F376" s="101"/>
      <c r="G376" s="91"/>
    </row>
    <row r="377" spans="2:7" ht="24.95" customHeight="1" thickTop="1" thickBot="1" x14ac:dyDescent="0.4">
      <c r="B377" s="92"/>
      <c r="C377" s="332" t="s">
        <v>261</v>
      </c>
      <c r="D377" s="333">
        <f>SUM(D371:D375)</f>
        <v>0</v>
      </c>
      <c r="E377" s="332" t="s">
        <v>192</v>
      </c>
      <c r="F377" s="333" t="e">
        <f>SUM(F371:F375)</f>
        <v>#REF!</v>
      </c>
      <c r="G377" s="91"/>
    </row>
    <row r="378" spans="2:7" ht="24.95" customHeight="1" thickTop="1" x14ac:dyDescent="0.3">
      <c r="B378" s="92"/>
      <c r="C378" s="318"/>
      <c r="D378" s="319"/>
      <c r="E378" s="318"/>
      <c r="F378" s="319"/>
      <c r="G378" s="91"/>
    </row>
    <row r="379" spans="2:7" ht="24.95" customHeight="1" thickBot="1" x14ac:dyDescent="0.35">
      <c r="B379" s="92"/>
      <c r="C379" s="318"/>
      <c r="D379" s="319"/>
      <c r="E379" s="318"/>
      <c r="F379" s="319"/>
      <c r="G379" s="91"/>
    </row>
    <row r="380" spans="2:7" ht="24.95" customHeight="1" thickTop="1" thickBot="1" x14ac:dyDescent="0.4">
      <c r="B380" s="92"/>
      <c r="C380" s="332" t="s">
        <v>193</v>
      </c>
      <c r="D380" s="333" t="e">
        <f>D377-F377</f>
        <v>#REF!</v>
      </c>
      <c r="E380" s="318"/>
      <c r="F380" s="319"/>
      <c r="G380" s="91"/>
    </row>
    <row r="381" spans="2:7" ht="24.95" customHeight="1" thickTop="1" thickBot="1" x14ac:dyDescent="0.3">
      <c r="B381" s="95"/>
      <c r="C381" s="98"/>
      <c r="D381" s="107"/>
      <c r="E381" s="98"/>
      <c r="F381" s="107"/>
      <c r="G381" s="97"/>
    </row>
    <row r="382" spans="2:7" ht="24.95" customHeight="1" thickTop="1" x14ac:dyDescent="0.25"/>
    <row r="385" spans="2:7" ht="24.95" customHeight="1" thickBot="1" x14ac:dyDescent="0.3"/>
    <row r="386" spans="2:7" ht="24.95" customHeight="1" thickTop="1" thickBot="1" x14ac:dyDescent="0.3">
      <c r="B386" s="336" t="s">
        <v>184</v>
      </c>
      <c r="C386" s="336" t="s">
        <v>185</v>
      </c>
      <c r="D386" s="100"/>
      <c r="E386" s="87"/>
      <c r="F386" s="100"/>
      <c r="G386" s="88"/>
    </row>
    <row r="387" spans="2:7" ht="24.95" customHeight="1" thickTop="1" thickBot="1" x14ac:dyDescent="0.35">
      <c r="B387" s="317" t="e">
        <f>#REF!</f>
        <v>#REF!</v>
      </c>
      <c r="C387" s="337" t="str">
        <f>Monthly!$A$4</f>
        <v xml:space="preserve"> 30th April  2021</v>
      </c>
      <c r="D387" s="101"/>
      <c r="E387" s="90"/>
      <c r="F387" s="334" t="s">
        <v>219</v>
      </c>
      <c r="G387" s="335"/>
    </row>
    <row r="388" spans="2:7" ht="24.95" customHeight="1" thickTop="1" x14ac:dyDescent="0.3">
      <c r="B388" s="92"/>
      <c r="C388" s="90"/>
      <c r="D388" s="101"/>
      <c r="E388" s="90"/>
      <c r="F388" s="334" t="s">
        <v>222</v>
      </c>
      <c r="G388" s="335"/>
    </row>
    <row r="389" spans="2:7" ht="24.95" customHeight="1" x14ac:dyDescent="0.3">
      <c r="B389" s="92"/>
      <c r="C389" s="90"/>
      <c r="D389" s="101"/>
      <c r="E389" s="90"/>
      <c r="F389" s="334" t="s">
        <v>61</v>
      </c>
      <c r="G389" s="335"/>
    </row>
    <row r="390" spans="2:7" ht="24.95" customHeight="1" x14ac:dyDescent="0.25">
      <c r="B390" s="92"/>
      <c r="C390" s="90"/>
      <c r="D390" s="101"/>
      <c r="E390" s="90"/>
      <c r="F390" s="101"/>
      <c r="G390" s="91"/>
    </row>
    <row r="391" spans="2:7" ht="24.95" customHeight="1" x14ac:dyDescent="0.25">
      <c r="B391" s="92"/>
      <c r="C391" s="90"/>
      <c r="D391" s="101"/>
      <c r="E391" s="90"/>
      <c r="F391" s="101"/>
      <c r="G391" s="91"/>
    </row>
    <row r="392" spans="2:7" ht="24.95" customHeight="1" thickBot="1" x14ac:dyDescent="0.3">
      <c r="B392" s="92"/>
      <c r="C392" s="90"/>
      <c r="D392" s="101"/>
      <c r="E392" s="90"/>
      <c r="F392" s="101"/>
      <c r="G392" s="91"/>
    </row>
    <row r="393" spans="2:7" ht="24.95" customHeight="1" thickTop="1" thickBot="1" x14ac:dyDescent="0.3">
      <c r="B393" s="92"/>
      <c r="C393" s="320" t="s">
        <v>186</v>
      </c>
      <c r="D393" s="321"/>
      <c r="E393" s="322" t="s">
        <v>187</v>
      </c>
      <c r="F393" s="323"/>
      <c r="G393" s="91"/>
    </row>
    <row r="394" spans="2:7" ht="24.95" customHeight="1" thickTop="1" x14ac:dyDescent="0.25">
      <c r="B394" s="92"/>
      <c r="C394" s="92"/>
      <c r="D394" s="103"/>
      <c r="E394" s="94"/>
      <c r="F394" s="108"/>
      <c r="G394" s="91"/>
    </row>
    <row r="395" spans="2:7" ht="24.95" customHeight="1" x14ac:dyDescent="0.35">
      <c r="B395" s="92"/>
      <c r="C395" s="324" t="s">
        <v>4</v>
      </c>
      <c r="D395" s="325">
        <f>Monthly!G392</f>
        <v>0</v>
      </c>
      <c r="E395" s="326" t="s">
        <v>10</v>
      </c>
      <c r="F395" s="327">
        <f>Monthly!L392</f>
        <v>0</v>
      </c>
      <c r="G395" s="91"/>
    </row>
    <row r="396" spans="2:7" ht="24.95" customHeight="1" x14ac:dyDescent="0.35">
      <c r="B396" s="92"/>
      <c r="C396" s="324" t="s">
        <v>221</v>
      </c>
      <c r="D396" s="325">
        <f>Monthly!H392</f>
        <v>0</v>
      </c>
      <c r="E396" s="326" t="s">
        <v>11</v>
      </c>
      <c r="F396" s="327">
        <f>Monthly!M392</f>
        <v>0</v>
      </c>
      <c r="G396" s="91"/>
    </row>
    <row r="397" spans="2:7" ht="24.95" customHeight="1" x14ac:dyDescent="0.35">
      <c r="B397" s="92"/>
      <c r="C397" s="324" t="s">
        <v>258</v>
      </c>
      <c r="D397" s="325">
        <f>Monthly!I391</f>
        <v>0</v>
      </c>
      <c r="E397" s="326" t="s">
        <v>252</v>
      </c>
      <c r="F397" s="327">
        <f>Monthly!O392</f>
        <v>0</v>
      </c>
      <c r="G397" s="91"/>
    </row>
    <row r="398" spans="2:7" ht="24.95" customHeight="1" x14ac:dyDescent="0.35">
      <c r="B398" s="92"/>
      <c r="C398" s="324" t="s">
        <v>213</v>
      </c>
      <c r="D398" s="325">
        <f>Monthly!J392</f>
        <v>0</v>
      </c>
      <c r="E398" s="326" t="s">
        <v>259</v>
      </c>
      <c r="F398" s="327">
        <f>Monthly!N392</f>
        <v>0</v>
      </c>
      <c r="G398" s="91"/>
    </row>
    <row r="399" spans="2:7" ht="24.95" customHeight="1" thickBot="1" x14ac:dyDescent="0.3">
      <c r="B399" s="92"/>
      <c r="C399" s="95"/>
      <c r="D399" s="105"/>
      <c r="E399" s="96" t="s">
        <v>8</v>
      </c>
      <c r="F399" s="110" t="e">
        <f>#REF!</f>
        <v>#REF!</v>
      </c>
      <c r="G399" s="91"/>
    </row>
    <row r="400" spans="2:7" ht="24.95" customHeight="1" thickTop="1" thickBot="1" x14ac:dyDescent="0.3">
      <c r="B400" s="92"/>
      <c r="C400" s="90"/>
      <c r="D400" s="101"/>
      <c r="E400" s="90"/>
      <c r="F400" s="101"/>
      <c r="G400" s="91"/>
    </row>
    <row r="401" spans="2:7" ht="24.95" customHeight="1" thickTop="1" thickBot="1" x14ac:dyDescent="0.4">
      <c r="B401" s="92"/>
      <c r="C401" s="332" t="s">
        <v>261</v>
      </c>
      <c r="D401" s="333">
        <f>SUM(D395:D399)</f>
        <v>0</v>
      </c>
      <c r="E401" s="332" t="s">
        <v>192</v>
      </c>
      <c r="F401" s="333" t="e">
        <f>SUM(F395:F399)</f>
        <v>#REF!</v>
      </c>
      <c r="G401" s="91"/>
    </row>
    <row r="402" spans="2:7" ht="24.95" customHeight="1" thickTop="1" x14ac:dyDescent="0.3">
      <c r="B402" s="92"/>
      <c r="C402" s="318"/>
      <c r="D402" s="319"/>
      <c r="E402" s="318"/>
      <c r="F402" s="319"/>
      <c r="G402" s="91"/>
    </row>
    <row r="403" spans="2:7" ht="24.95" customHeight="1" thickBot="1" x14ac:dyDescent="0.35">
      <c r="B403" s="92"/>
      <c r="C403" s="318"/>
      <c r="D403" s="319"/>
      <c r="E403" s="318"/>
      <c r="F403" s="319"/>
      <c r="G403" s="91"/>
    </row>
    <row r="404" spans="2:7" ht="24.95" customHeight="1" thickTop="1" thickBot="1" x14ac:dyDescent="0.4">
      <c r="B404" s="92"/>
      <c r="C404" s="332" t="s">
        <v>193</v>
      </c>
      <c r="D404" s="333" t="e">
        <f>D401-F401</f>
        <v>#REF!</v>
      </c>
      <c r="E404" s="318"/>
      <c r="F404" s="319"/>
      <c r="G404" s="91"/>
    </row>
    <row r="405" spans="2:7" ht="24.95" customHeight="1" thickTop="1" thickBot="1" x14ac:dyDescent="0.3">
      <c r="B405" s="95"/>
      <c r="C405" s="98"/>
      <c r="D405" s="107"/>
      <c r="E405" s="98"/>
      <c r="F405" s="107"/>
      <c r="G405" s="97"/>
    </row>
    <row r="406" spans="2:7" ht="24.95" customHeight="1" thickTop="1" x14ac:dyDescent="0.25"/>
    <row r="409" spans="2:7" ht="24.95" customHeight="1" thickBot="1" x14ac:dyDescent="0.3"/>
    <row r="410" spans="2:7" ht="24.95" customHeight="1" thickTop="1" thickBot="1" x14ac:dyDescent="0.3">
      <c r="B410" s="336" t="s">
        <v>184</v>
      </c>
      <c r="C410" s="336" t="s">
        <v>185</v>
      </c>
      <c r="D410" s="100"/>
      <c r="E410" s="87"/>
      <c r="F410" s="100"/>
      <c r="G410" s="88"/>
    </row>
    <row r="411" spans="2:7" ht="24.95" customHeight="1" thickTop="1" thickBot="1" x14ac:dyDescent="0.35">
      <c r="B411" s="317" t="e">
        <f>#REF!</f>
        <v>#REF!</v>
      </c>
      <c r="C411" s="337" t="str">
        <f>Monthly!$A$4</f>
        <v xml:space="preserve"> 30th April  2021</v>
      </c>
      <c r="D411" s="101"/>
      <c r="E411" s="90"/>
      <c r="F411" s="334" t="s">
        <v>219</v>
      </c>
      <c r="G411" s="335"/>
    </row>
    <row r="412" spans="2:7" ht="24.95" customHeight="1" thickTop="1" x14ac:dyDescent="0.3">
      <c r="B412" s="92"/>
      <c r="C412" s="90"/>
      <c r="D412" s="101"/>
      <c r="E412" s="90"/>
      <c r="F412" s="334" t="s">
        <v>222</v>
      </c>
      <c r="G412" s="335"/>
    </row>
    <row r="413" spans="2:7" ht="24.95" customHeight="1" x14ac:dyDescent="0.3">
      <c r="B413" s="92"/>
      <c r="C413" s="90"/>
      <c r="D413" s="101"/>
      <c r="E413" s="90"/>
      <c r="F413" s="334" t="s">
        <v>61</v>
      </c>
      <c r="G413" s="335"/>
    </row>
    <row r="414" spans="2:7" ht="24.95" customHeight="1" x14ac:dyDescent="0.25">
      <c r="B414" s="92"/>
      <c r="C414" s="90"/>
      <c r="D414" s="101"/>
      <c r="E414" s="90"/>
      <c r="F414" s="101"/>
      <c r="G414" s="91"/>
    </row>
    <row r="415" spans="2:7" ht="24.95" customHeight="1" x14ac:dyDescent="0.25">
      <c r="B415" s="92"/>
      <c r="C415" s="90"/>
      <c r="D415" s="101"/>
      <c r="E415" s="90"/>
      <c r="F415" s="101"/>
      <c r="G415" s="91"/>
    </row>
    <row r="416" spans="2:7" ht="24.95" customHeight="1" thickBot="1" x14ac:dyDescent="0.3">
      <c r="B416" s="92"/>
      <c r="C416" s="90"/>
      <c r="D416" s="101"/>
      <c r="E416" s="90"/>
      <c r="F416" s="101"/>
      <c r="G416" s="91"/>
    </row>
    <row r="417" spans="2:7" ht="24.95" customHeight="1" thickTop="1" thickBot="1" x14ac:dyDescent="0.3">
      <c r="B417" s="92"/>
      <c r="C417" s="320" t="s">
        <v>186</v>
      </c>
      <c r="D417" s="321"/>
      <c r="E417" s="322" t="s">
        <v>187</v>
      </c>
      <c r="F417" s="323"/>
      <c r="G417" s="91"/>
    </row>
    <row r="418" spans="2:7" ht="24.95" customHeight="1" thickTop="1" x14ac:dyDescent="0.25">
      <c r="B418" s="92"/>
      <c r="C418" s="92"/>
      <c r="D418" s="103"/>
      <c r="E418" s="94"/>
      <c r="F418" s="108"/>
      <c r="G418" s="91"/>
    </row>
    <row r="419" spans="2:7" ht="24.95" customHeight="1" x14ac:dyDescent="0.35">
      <c r="B419" s="92"/>
      <c r="C419" s="324" t="s">
        <v>4</v>
      </c>
      <c r="D419" s="325">
        <f>Monthly!G416</f>
        <v>0</v>
      </c>
      <c r="E419" s="326" t="s">
        <v>10</v>
      </c>
      <c r="F419" s="327">
        <f>Monthly!L416</f>
        <v>0</v>
      </c>
      <c r="G419" s="91"/>
    </row>
    <row r="420" spans="2:7" ht="24.95" customHeight="1" x14ac:dyDescent="0.35">
      <c r="B420" s="92"/>
      <c r="C420" s="324" t="s">
        <v>221</v>
      </c>
      <c r="D420" s="325">
        <f>Monthly!H416</f>
        <v>0</v>
      </c>
      <c r="E420" s="326" t="s">
        <v>11</v>
      </c>
      <c r="F420" s="327">
        <f>Monthly!M416</f>
        <v>0</v>
      </c>
      <c r="G420" s="91"/>
    </row>
    <row r="421" spans="2:7" ht="24.95" customHeight="1" x14ac:dyDescent="0.35">
      <c r="B421" s="92"/>
      <c r="C421" s="324" t="s">
        <v>258</v>
      </c>
      <c r="D421" s="325">
        <f>Monthly!I415</f>
        <v>0</v>
      </c>
      <c r="E421" s="326" t="s">
        <v>252</v>
      </c>
      <c r="F421" s="327">
        <f>Monthly!O416</f>
        <v>0</v>
      </c>
      <c r="G421" s="91"/>
    </row>
    <row r="422" spans="2:7" ht="24.95" customHeight="1" x14ac:dyDescent="0.35">
      <c r="B422" s="92"/>
      <c r="C422" s="324" t="s">
        <v>213</v>
      </c>
      <c r="D422" s="325">
        <f>Monthly!J416</f>
        <v>0</v>
      </c>
      <c r="E422" s="326" t="s">
        <v>259</v>
      </c>
      <c r="F422" s="327">
        <f>Monthly!N416</f>
        <v>0</v>
      </c>
      <c r="G422" s="91"/>
    </row>
    <row r="423" spans="2:7" ht="24.95" customHeight="1" thickBot="1" x14ac:dyDescent="0.3">
      <c r="B423" s="92"/>
      <c r="C423" s="95"/>
      <c r="D423" s="105"/>
      <c r="E423" s="96" t="s">
        <v>8</v>
      </c>
      <c r="F423" s="110" t="e">
        <f>#REF!</f>
        <v>#REF!</v>
      </c>
      <c r="G423" s="91"/>
    </row>
    <row r="424" spans="2:7" ht="24.95" customHeight="1" thickTop="1" thickBot="1" x14ac:dyDescent="0.3">
      <c r="B424" s="92"/>
      <c r="C424" s="90"/>
      <c r="D424" s="101"/>
      <c r="E424" s="90"/>
      <c r="F424" s="101"/>
      <c r="G424" s="91"/>
    </row>
    <row r="425" spans="2:7" ht="24.95" customHeight="1" thickTop="1" thickBot="1" x14ac:dyDescent="0.4">
      <c r="B425" s="92"/>
      <c r="C425" s="332" t="s">
        <v>261</v>
      </c>
      <c r="D425" s="333">
        <f>SUM(D419:D423)</f>
        <v>0</v>
      </c>
      <c r="E425" s="332" t="s">
        <v>192</v>
      </c>
      <c r="F425" s="333" t="e">
        <f>SUM(F419:F423)</f>
        <v>#REF!</v>
      </c>
      <c r="G425" s="91"/>
    </row>
    <row r="426" spans="2:7" ht="24.95" customHeight="1" thickTop="1" x14ac:dyDescent="0.3">
      <c r="B426" s="92"/>
      <c r="C426" s="318"/>
      <c r="D426" s="319"/>
      <c r="E426" s="318"/>
      <c r="F426" s="319"/>
      <c r="G426" s="91"/>
    </row>
    <row r="427" spans="2:7" ht="24.95" customHeight="1" thickBot="1" x14ac:dyDescent="0.35">
      <c r="B427" s="92"/>
      <c r="C427" s="318"/>
      <c r="D427" s="319"/>
      <c r="E427" s="318"/>
      <c r="F427" s="319"/>
      <c r="G427" s="91"/>
    </row>
    <row r="428" spans="2:7" ht="24.95" customHeight="1" thickTop="1" thickBot="1" x14ac:dyDescent="0.4">
      <c r="B428" s="92"/>
      <c r="C428" s="332" t="s">
        <v>193</v>
      </c>
      <c r="D428" s="333" t="e">
        <f>D425-F425</f>
        <v>#REF!</v>
      </c>
      <c r="E428" s="318"/>
      <c r="F428" s="319"/>
      <c r="G428" s="91"/>
    </row>
    <row r="429" spans="2:7" ht="24.95" customHeight="1" thickTop="1" x14ac:dyDescent="0.25">
      <c r="B429" s="92"/>
      <c r="C429" s="200"/>
      <c r="D429" s="201"/>
      <c r="E429" s="90"/>
      <c r="F429" s="101"/>
      <c r="G429" s="91"/>
    </row>
    <row r="430" spans="2:7" ht="24.95" customHeight="1" x14ac:dyDescent="0.25">
      <c r="B430" s="92"/>
      <c r="C430" s="200"/>
      <c r="D430" s="201"/>
      <c r="E430" s="90"/>
      <c r="F430" s="101"/>
      <c r="G430" s="91"/>
    </row>
    <row r="431" spans="2:7" ht="24.95" customHeight="1" thickBot="1" x14ac:dyDescent="0.3">
      <c r="B431" s="95"/>
      <c r="C431" s="98"/>
      <c r="D431" s="107"/>
      <c r="E431" s="98"/>
      <c r="F431" s="107"/>
      <c r="G431" s="97"/>
    </row>
    <row r="432" spans="2:7" ht="24.95" customHeight="1" thickTop="1" x14ac:dyDescent="0.25">
      <c r="B432" s="92"/>
      <c r="C432" s="90"/>
      <c r="D432" s="101"/>
      <c r="E432" s="90"/>
      <c r="F432" s="101"/>
      <c r="G432" s="91"/>
    </row>
    <row r="433" spans="2:7" ht="24.95" customHeight="1" x14ac:dyDescent="0.25">
      <c r="B433" s="92"/>
      <c r="C433" s="90"/>
      <c r="D433" s="101"/>
      <c r="E433" s="90"/>
      <c r="F433" s="101"/>
      <c r="G433" s="91"/>
    </row>
    <row r="434" spans="2:7" ht="24.95" customHeight="1" x14ac:dyDescent="0.25">
      <c r="B434" s="92"/>
      <c r="C434" s="90"/>
      <c r="D434" s="101"/>
      <c r="E434" s="90"/>
      <c r="F434" s="101"/>
      <c r="G434" s="91"/>
    </row>
    <row r="435" spans="2:7" ht="24.95" customHeight="1" thickBot="1" x14ac:dyDescent="0.3">
      <c r="B435" s="92"/>
      <c r="C435" s="90"/>
      <c r="D435" s="101"/>
      <c r="E435" s="90"/>
      <c r="F435" s="101"/>
      <c r="G435" s="91"/>
    </row>
    <row r="436" spans="2:7" ht="24.95" customHeight="1" thickTop="1" thickBot="1" x14ac:dyDescent="0.3">
      <c r="B436" s="336" t="s">
        <v>184</v>
      </c>
      <c r="C436" s="336" t="s">
        <v>185</v>
      </c>
      <c r="D436" s="212"/>
      <c r="E436" s="87"/>
      <c r="F436" s="100"/>
      <c r="G436" s="88"/>
    </row>
    <row r="437" spans="2:7" ht="24.95" customHeight="1" thickTop="1" thickBot="1" x14ac:dyDescent="0.35">
      <c r="B437" s="317" t="e">
        <f>#REF!</f>
        <v>#REF!</v>
      </c>
      <c r="C437" s="337" t="str">
        <f>Monthly!$A$4</f>
        <v xml:space="preserve"> 30th April  2021</v>
      </c>
      <c r="D437" s="101"/>
      <c r="E437" s="90"/>
      <c r="F437" s="334" t="s">
        <v>219</v>
      </c>
      <c r="G437" s="335"/>
    </row>
    <row r="438" spans="2:7" ht="24.95" customHeight="1" thickTop="1" x14ac:dyDescent="0.3">
      <c r="B438" s="92"/>
      <c r="C438" s="90"/>
      <c r="D438" s="101"/>
      <c r="E438" s="90"/>
      <c r="F438" s="334" t="s">
        <v>222</v>
      </c>
      <c r="G438" s="335"/>
    </row>
    <row r="439" spans="2:7" ht="24.95" customHeight="1" x14ac:dyDescent="0.3">
      <c r="B439" s="92"/>
      <c r="C439" s="90"/>
      <c r="D439" s="101"/>
      <c r="E439" s="90"/>
      <c r="F439" s="334" t="s">
        <v>61</v>
      </c>
      <c r="G439" s="335"/>
    </row>
    <row r="440" spans="2:7" ht="24.95" customHeight="1" x14ac:dyDescent="0.25">
      <c r="B440" s="92"/>
      <c r="C440" s="90"/>
      <c r="D440" s="101"/>
      <c r="E440" s="90"/>
      <c r="F440" s="101"/>
      <c r="G440" s="91"/>
    </row>
    <row r="441" spans="2:7" ht="24.95" customHeight="1" x14ac:dyDescent="0.25">
      <c r="B441" s="92"/>
      <c r="C441" s="90"/>
      <c r="D441" s="101"/>
      <c r="E441" s="90"/>
      <c r="F441" s="101"/>
      <c r="G441" s="91"/>
    </row>
    <row r="442" spans="2:7" ht="24.95" customHeight="1" x14ac:dyDescent="0.25">
      <c r="B442" s="92"/>
      <c r="C442" s="90"/>
      <c r="D442" s="101"/>
      <c r="E442" s="90"/>
      <c r="F442" s="101"/>
      <c r="G442" s="91"/>
    </row>
    <row r="443" spans="2:7" ht="24.95" customHeight="1" thickBot="1" x14ac:dyDescent="0.3">
      <c r="B443" s="92"/>
      <c r="C443" s="90"/>
      <c r="D443" s="101"/>
      <c r="E443" s="90"/>
      <c r="F443" s="101"/>
      <c r="G443" s="91"/>
    </row>
    <row r="444" spans="2:7" ht="24.95" customHeight="1" thickTop="1" thickBot="1" x14ac:dyDescent="0.3">
      <c r="B444" s="92"/>
      <c r="C444" s="320" t="s">
        <v>186</v>
      </c>
      <c r="D444" s="321"/>
      <c r="E444" s="322" t="s">
        <v>187</v>
      </c>
      <c r="F444" s="323"/>
      <c r="G444" s="91"/>
    </row>
    <row r="445" spans="2:7" ht="24.95" customHeight="1" thickTop="1" x14ac:dyDescent="0.25">
      <c r="B445" s="92"/>
      <c r="C445" s="92"/>
      <c r="D445" s="103"/>
      <c r="E445" s="94"/>
      <c r="F445" s="108"/>
      <c r="G445" s="91"/>
    </row>
    <row r="446" spans="2:7" ht="24.95" customHeight="1" x14ac:dyDescent="0.35">
      <c r="B446" s="92"/>
      <c r="C446" s="324" t="s">
        <v>4</v>
      </c>
      <c r="D446" s="325">
        <f>Monthly!G443</f>
        <v>0</v>
      </c>
      <c r="E446" s="326" t="s">
        <v>10</v>
      </c>
      <c r="F446" s="327">
        <f>Monthly!L443</f>
        <v>0</v>
      </c>
      <c r="G446" s="91"/>
    </row>
    <row r="447" spans="2:7" ht="24.95" customHeight="1" x14ac:dyDescent="0.35">
      <c r="B447" s="92"/>
      <c r="C447" s="324" t="s">
        <v>221</v>
      </c>
      <c r="D447" s="325">
        <f>Monthly!H443</f>
        <v>0</v>
      </c>
      <c r="E447" s="326" t="s">
        <v>11</v>
      </c>
      <c r="F447" s="327">
        <f>Monthly!M443</f>
        <v>0</v>
      </c>
      <c r="G447" s="91"/>
    </row>
    <row r="448" spans="2:7" ht="24.95" customHeight="1" x14ac:dyDescent="0.35">
      <c r="B448" s="92"/>
      <c r="C448" s="324" t="s">
        <v>258</v>
      </c>
      <c r="D448" s="325">
        <f>Monthly!I442</f>
        <v>0</v>
      </c>
      <c r="E448" s="326" t="s">
        <v>252</v>
      </c>
      <c r="F448" s="327">
        <f>Monthly!O443</f>
        <v>0</v>
      </c>
      <c r="G448" s="91"/>
    </row>
    <row r="449" spans="2:7" ht="24.95" customHeight="1" x14ac:dyDescent="0.35">
      <c r="B449" s="92"/>
      <c r="C449" s="324" t="s">
        <v>213</v>
      </c>
      <c r="D449" s="325">
        <f>Monthly!J443</f>
        <v>0</v>
      </c>
      <c r="E449" s="326" t="s">
        <v>259</v>
      </c>
      <c r="F449" s="327">
        <f>Monthly!N443</f>
        <v>0</v>
      </c>
      <c r="G449" s="91"/>
    </row>
    <row r="450" spans="2:7" ht="24.95" customHeight="1" thickBot="1" x14ac:dyDescent="0.3">
      <c r="B450" s="92"/>
      <c r="C450" s="95"/>
      <c r="D450" s="105"/>
      <c r="E450" s="96" t="s">
        <v>8</v>
      </c>
      <c r="F450" s="110" t="e">
        <f>#REF!</f>
        <v>#REF!</v>
      </c>
      <c r="G450" s="91"/>
    </row>
    <row r="451" spans="2:7" ht="24.95" customHeight="1" thickTop="1" thickBot="1" x14ac:dyDescent="0.3">
      <c r="B451" s="92"/>
      <c r="C451" s="90"/>
      <c r="D451" s="101"/>
      <c r="E451" s="90"/>
      <c r="F451" s="101"/>
      <c r="G451" s="91"/>
    </row>
    <row r="452" spans="2:7" ht="24.95" customHeight="1" thickTop="1" thickBot="1" x14ac:dyDescent="0.4">
      <c r="B452" s="92"/>
      <c r="C452" s="332" t="s">
        <v>261</v>
      </c>
      <c r="D452" s="333">
        <f>SUM(D446:D450)</f>
        <v>0</v>
      </c>
      <c r="E452" s="332" t="s">
        <v>192</v>
      </c>
      <c r="F452" s="333" t="e">
        <f>SUM(F446:F450)</f>
        <v>#REF!</v>
      </c>
      <c r="G452" s="91"/>
    </row>
    <row r="453" spans="2:7" ht="24.95" customHeight="1" thickTop="1" x14ac:dyDescent="0.3">
      <c r="B453" s="92"/>
      <c r="C453" s="318"/>
      <c r="D453" s="319"/>
      <c r="E453" s="318"/>
      <c r="F453" s="319"/>
      <c r="G453" s="91"/>
    </row>
    <row r="454" spans="2:7" ht="24.95" customHeight="1" thickBot="1" x14ac:dyDescent="0.35">
      <c r="B454" s="92"/>
      <c r="C454" s="318"/>
      <c r="D454" s="319"/>
      <c r="E454" s="318"/>
      <c r="F454" s="319"/>
      <c r="G454" s="91"/>
    </row>
    <row r="455" spans="2:7" ht="24.95" customHeight="1" thickTop="1" thickBot="1" x14ac:dyDescent="0.4">
      <c r="B455" s="92"/>
      <c r="C455" s="332" t="s">
        <v>193</v>
      </c>
      <c r="D455" s="333" t="e">
        <f>D452-F452</f>
        <v>#REF!</v>
      </c>
      <c r="E455" s="318"/>
      <c r="F455" s="319"/>
      <c r="G455" s="91"/>
    </row>
    <row r="456" spans="2:7" ht="24.95" customHeight="1" thickTop="1" thickBot="1" x14ac:dyDescent="0.3">
      <c r="B456" s="95"/>
      <c r="C456" s="98"/>
      <c r="D456" s="107"/>
      <c r="E456" s="98"/>
      <c r="F456" s="107"/>
      <c r="G456" s="97"/>
    </row>
    <row r="457" spans="2:7" ht="24.95" customHeight="1" thickTop="1" x14ac:dyDescent="0.25">
      <c r="B457" s="90"/>
      <c r="C457" s="90"/>
      <c r="D457" s="101"/>
      <c r="E457" s="90"/>
      <c r="F457" s="101"/>
      <c r="G457" s="90"/>
    </row>
    <row r="458" spans="2:7" ht="24.95" customHeight="1" x14ac:dyDescent="0.25">
      <c r="B458" s="92"/>
      <c r="C458" s="90"/>
      <c r="D458" s="101"/>
      <c r="E458" s="90"/>
      <c r="F458" s="101"/>
      <c r="G458" s="91"/>
    </row>
    <row r="459" spans="2:7" ht="24.95" customHeight="1" x14ac:dyDescent="0.25">
      <c r="B459" s="92"/>
      <c r="C459" s="90"/>
      <c r="D459" s="101"/>
      <c r="E459" s="90"/>
      <c r="F459" s="101"/>
      <c r="G459" s="91"/>
    </row>
    <row r="460" spans="2:7" ht="24.95" customHeight="1" thickBot="1" x14ac:dyDescent="0.3">
      <c r="B460" s="92"/>
      <c r="C460" s="90"/>
      <c r="D460" s="101"/>
      <c r="E460" s="90"/>
      <c r="F460" s="101"/>
      <c r="G460" s="91"/>
    </row>
    <row r="461" spans="2:7" ht="24.95" customHeight="1" thickTop="1" thickBot="1" x14ac:dyDescent="0.3">
      <c r="B461" s="336" t="s">
        <v>184</v>
      </c>
      <c r="C461" s="336" t="s">
        <v>185</v>
      </c>
      <c r="D461" s="212"/>
      <c r="E461" s="87"/>
      <c r="F461" s="100"/>
      <c r="G461" s="88"/>
    </row>
    <row r="462" spans="2:7" ht="24.95" customHeight="1" thickTop="1" thickBot="1" x14ac:dyDescent="0.35">
      <c r="B462" s="317" t="e">
        <f>#REF!</f>
        <v>#REF!</v>
      </c>
      <c r="C462" s="337" t="str">
        <f>Monthly!$A$4</f>
        <v xml:space="preserve"> 30th April  2021</v>
      </c>
      <c r="D462" s="103"/>
      <c r="E462" s="90"/>
      <c r="F462" s="334" t="s">
        <v>219</v>
      </c>
      <c r="G462" s="335"/>
    </row>
    <row r="463" spans="2:7" ht="24.95" customHeight="1" thickTop="1" x14ac:dyDescent="0.3">
      <c r="B463" s="92"/>
      <c r="C463" s="90"/>
      <c r="D463" s="101"/>
      <c r="E463" s="90"/>
      <c r="F463" s="334" t="s">
        <v>222</v>
      </c>
      <c r="G463" s="335"/>
    </row>
    <row r="464" spans="2:7" ht="24.95" customHeight="1" x14ac:dyDescent="0.3">
      <c r="B464" s="92"/>
      <c r="C464" s="90"/>
      <c r="D464" s="101"/>
      <c r="E464" s="90"/>
      <c r="F464" s="334" t="s">
        <v>61</v>
      </c>
      <c r="G464" s="335"/>
    </row>
    <row r="465" spans="2:7" ht="24.95" customHeight="1" x14ac:dyDescent="0.25">
      <c r="B465" s="92"/>
      <c r="C465" s="90"/>
      <c r="D465" s="101"/>
      <c r="E465" s="90"/>
      <c r="F465" s="101"/>
      <c r="G465" s="91"/>
    </row>
    <row r="466" spans="2:7" ht="24.95" customHeight="1" x14ac:dyDescent="0.25">
      <c r="B466" s="92"/>
      <c r="C466" s="90"/>
      <c r="D466" s="101"/>
      <c r="E466" s="90"/>
      <c r="F466" s="101"/>
      <c r="G466" s="91"/>
    </row>
    <row r="467" spans="2:7" ht="24.95" customHeight="1" thickBot="1" x14ac:dyDescent="0.3">
      <c r="B467" s="92"/>
      <c r="C467" s="90"/>
      <c r="D467" s="101"/>
      <c r="E467" s="90"/>
      <c r="F467" s="101"/>
      <c r="G467" s="91"/>
    </row>
    <row r="468" spans="2:7" ht="24.95" customHeight="1" thickTop="1" thickBot="1" x14ac:dyDescent="0.3">
      <c r="B468" s="92"/>
      <c r="C468" s="320" t="s">
        <v>186</v>
      </c>
      <c r="D468" s="321"/>
      <c r="E468" s="322" t="s">
        <v>187</v>
      </c>
      <c r="F468" s="323"/>
      <c r="G468" s="91"/>
    </row>
    <row r="469" spans="2:7" ht="24.95" customHeight="1" thickTop="1" x14ac:dyDescent="0.25">
      <c r="B469" s="92"/>
      <c r="C469" s="92"/>
      <c r="D469" s="103"/>
      <c r="E469" s="94"/>
      <c r="F469" s="108"/>
      <c r="G469" s="91"/>
    </row>
    <row r="470" spans="2:7" ht="24.95" customHeight="1" x14ac:dyDescent="0.35">
      <c r="B470" s="92"/>
      <c r="C470" s="324" t="s">
        <v>4</v>
      </c>
      <c r="D470" s="325">
        <f>Monthly!G467</f>
        <v>0</v>
      </c>
      <c r="E470" s="326" t="s">
        <v>10</v>
      </c>
      <c r="F470" s="327">
        <f>Monthly!L467</f>
        <v>0</v>
      </c>
      <c r="G470" s="91"/>
    </row>
    <row r="471" spans="2:7" ht="24.95" customHeight="1" x14ac:dyDescent="0.35">
      <c r="B471" s="92"/>
      <c r="C471" s="324" t="s">
        <v>221</v>
      </c>
      <c r="D471" s="325">
        <f>Monthly!H467</f>
        <v>0</v>
      </c>
      <c r="E471" s="326" t="s">
        <v>11</v>
      </c>
      <c r="F471" s="327">
        <f>Monthly!M467</f>
        <v>0</v>
      </c>
      <c r="G471" s="91"/>
    </row>
    <row r="472" spans="2:7" ht="24.95" customHeight="1" x14ac:dyDescent="0.35">
      <c r="B472" s="92"/>
      <c r="C472" s="324" t="s">
        <v>258</v>
      </c>
      <c r="D472" s="325">
        <f>Monthly!I466</f>
        <v>0</v>
      </c>
      <c r="E472" s="326" t="s">
        <v>252</v>
      </c>
      <c r="F472" s="327">
        <f>Monthly!O467</f>
        <v>0</v>
      </c>
      <c r="G472" s="91"/>
    </row>
    <row r="473" spans="2:7" ht="24.95" customHeight="1" x14ac:dyDescent="0.35">
      <c r="B473" s="92"/>
      <c r="C473" s="324" t="s">
        <v>213</v>
      </c>
      <c r="D473" s="325">
        <f>Monthly!J467</f>
        <v>0</v>
      </c>
      <c r="E473" s="326" t="s">
        <v>259</v>
      </c>
      <c r="F473" s="327">
        <f>Monthly!N467</f>
        <v>0</v>
      </c>
      <c r="G473" s="91"/>
    </row>
    <row r="474" spans="2:7" ht="24.95" customHeight="1" thickBot="1" x14ac:dyDescent="0.3">
      <c r="B474" s="92"/>
      <c r="C474" s="95"/>
      <c r="D474" s="105"/>
      <c r="E474" s="96" t="s">
        <v>8</v>
      </c>
      <c r="F474" s="110" t="e">
        <f>#REF!</f>
        <v>#REF!</v>
      </c>
      <c r="G474" s="91"/>
    </row>
    <row r="475" spans="2:7" ht="24.95" customHeight="1" thickTop="1" thickBot="1" x14ac:dyDescent="0.3">
      <c r="B475" s="92"/>
      <c r="C475" s="90"/>
      <c r="D475" s="101"/>
      <c r="E475" s="90"/>
      <c r="F475" s="101"/>
      <c r="G475" s="91"/>
    </row>
    <row r="476" spans="2:7" ht="24.95" customHeight="1" thickTop="1" thickBot="1" x14ac:dyDescent="0.4">
      <c r="B476" s="92"/>
      <c r="C476" s="332" t="s">
        <v>261</v>
      </c>
      <c r="D476" s="333">
        <f>SUM(D470:D474)</f>
        <v>0</v>
      </c>
      <c r="E476" s="332" t="s">
        <v>192</v>
      </c>
      <c r="F476" s="333" t="e">
        <f>SUM(F470:F474)</f>
        <v>#REF!</v>
      </c>
      <c r="G476" s="91"/>
    </row>
    <row r="477" spans="2:7" ht="24.95" customHeight="1" thickTop="1" x14ac:dyDescent="0.3">
      <c r="B477" s="92"/>
      <c r="C477" s="318"/>
      <c r="D477" s="319"/>
      <c r="E477" s="318"/>
      <c r="F477" s="319"/>
      <c r="G477" s="91"/>
    </row>
    <row r="478" spans="2:7" ht="24.95" customHeight="1" thickBot="1" x14ac:dyDescent="0.35">
      <c r="B478" s="92"/>
      <c r="C478" s="318"/>
      <c r="D478" s="319"/>
      <c r="E478" s="318"/>
      <c r="F478" s="319"/>
      <c r="G478" s="91"/>
    </row>
    <row r="479" spans="2:7" ht="24.95" customHeight="1" thickTop="1" thickBot="1" x14ac:dyDescent="0.4">
      <c r="B479" s="92"/>
      <c r="C479" s="332" t="s">
        <v>193</v>
      </c>
      <c r="D479" s="333" t="e">
        <f>D476-F476</f>
        <v>#REF!</v>
      </c>
      <c r="E479" s="318"/>
      <c r="F479" s="319"/>
      <c r="G479" s="91"/>
    </row>
    <row r="480" spans="2:7" ht="24.95" customHeight="1" thickTop="1" thickBot="1" x14ac:dyDescent="0.3">
      <c r="B480" s="95"/>
      <c r="C480" s="98"/>
      <c r="D480" s="107"/>
      <c r="E480" s="98"/>
      <c r="F480" s="107"/>
      <c r="G480" s="97"/>
    </row>
    <row r="481" spans="2:7" ht="24.95" customHeight="1" thickTop="1" x14ac:dyDescent="0.25">
      <c r="B481" s="90"/>
      <c r="C481" s="90"/>
      <c r="D481" s="101"/>
      <c r="E481" s="90"/>
      <c r="F481" s="101"/>
      <c r="G481" s="90"/>
    </row>
    <row r="482" spans="2:7" ht="24.95" customHeight="1" x14ac:dyDescent="0.25">
      <c r="B482" s="90"/>
      <c r="C482" s="90"/>
      <c r="D482" s="101"/>
      <c r="E482" s="90"/>
      <c r="F482" s="101"/>
      <c r="G482" s="90"/>
    </row>
    <row r="483" spans="2:7" ht="24.95" customHeight="1" x14ac:dyDescent="0.25">
      <c r="B483" s="92"/>
      <c r="C483" s="90"/>
      <c r="D483" s="101"/>
      <c r="E483" s="90"/>
      <c r="F483" s="101"/>
      <c r="G483" s="91"/>
    </row>
    <row r="484" spans="2:7" ht="24.95" customHeight="1" x14ac:dyDescent="0.25">
      <c r="B484" s="92"/>
      <c r="C484" s="90"/>
      <c r="D484" s="101"/>
      <c r="E484" s="90"/>
      <c r="F484" s="101"/>
      <c r="G484" s="91"/>
    </row>
    <row r="485" spans="2:7" ht="24.95" customHeight="1" thickBot="1" x14ac:dyDescent="0.3">
      <c r="B485" s="92"/>
      <c r="C485" s="90"/>
      <c r="D485" s="101"/>
      <c r="E485" s="90"/>
      <c r="F485" s="101"/>
      <c r="G485" s="91"/>
    </row>
    <row r="486" spans="2:7" ht="24.95" customHeight="1" thickTop="1" thickBot="1" x14ac:dyDescent="0.3">
      <c r="B486" s="86" t="s">
        <v>184</v>
      </c>
      <c r="C486" s="86" t="s">
        <v>185</v>
      </c>
      <c r="D486" s="212"/>
      <c r="E486" s="87"/>
      <c r="F486" s="100"/>
      <c r="G486" s="88"/>
    </row>
    <row r="487" spans="2:7" ht="24.95" customHeight="1" thickTop="1" thickBot="1" x14ac:dyDescent="0.35">
      <c r="B487" s="89" t="e">
        <f>#REF!</f>
        <v>#REF!</v>
      </c>
      <c r="C487" s="89" t="str">
        <f>Monthly!$A$4</f>
        <v xml:space="preserve"> 30th April  2021</v>
      </c>
      <c r="D487" s="101"/>
      <c r="E487" s="90"/>
      <c r="F487" s="334" t="s">
        <v>219</v>
      </c>
      <c r="G487" s="335"/>
    </row>
    <row r="488" spans="2:7" ht="24.95" customHeight="1" thickTop="1" x14ac:dyDescent="0.3">
      <c r="B488" s="92"/>
      <c r="C488" s="90"/>
      <c r="D488" s="101"/>
      <c r="E488" s="90"/>
      <c r="F488" s="334" t="s">
        <v>222</v>
      </c>
      <c r="G488" s="335"/>
    </row>
    <row r="489" spans="2:7" ht="24.95" customHeight="1" x14ac:dyDescent="0.3">
      <c r="B489" s="92"/>
      <c r="C489" s="90"/>
      <c r="D489" s="101"/>
      <c r="E489" s="90"/>
      <c r="F489" s="334" t="s">
        <v>61</v>
      </c>
      <c r="G489" s="335"/>
    </row>
    <row r="490" spans="2:7" ht="24.95" customHeight="1" x14ac:dyDescent="0.25">
      <c r="B490" s="92"/>
      <c r="C490" s="90"/>
      <c r="D490" s="101"/>
      <c r="E490" s="90"/>
      <c r="F490" s="101"/>
      <c r="G490" s="91"/>
    </row>
    <row r="491" spans="2:7" ht="24.95" customHeight="1" x14ac:dyDescent="0.25">
      <c r="B491" s="92"/>
      <c r="C491" s="90"/>
      <c r="D491" s="101"/>
      <c r="E491" s="90"/>
      <c r="F491" s="101"/>
      <c r="G491" s="91"/>
    </row>
    <row r="492" spans="2:7" ht="24.95" customHeight="1" x14ac:dyDescent="0.25">
      <c r="B492" s="92"/>
      <c r="C492" s="90"/>
      <c r="D492" s="101"/>
      <c r="E492" s="90"/>
      <c r="F492" s="101"/>
      <c r="G492" s="91"/>
    </row>
    <row r="493" spans="2:7" ht="24.95" customHeight="1" thickBot="1" x14ac:dyDescent="0.3">
      <c r="B493" s="92"/>
      <c r="C493" s="90"/>
      <c r="D493" s="101"/>
      <c r="E493" s="90"/>
      <c r="F493" s="101"/>
      <c r="G493" s="91"/>
    </row>
    <row r="494" spans="2:7" ht="24.95" customHeight="1" thickTop="1" thickBot="1" x14ac:dyDescent="0.3">
      <c r="B494" s="92"/>
      <c r="C494" s="93" t="s">
        <v>186</v>
      </c>
      <c r="D494" s="102"/>
      <c r="E494" s="86" t="s">
        <v>187</v>
      </c>
      <c r="F494" s="111"/>
      <c r="G494" s="91"/>
    </row>
    <row r="495" spans="2:7" ht="24.95" customHeight="1" thickTop="1" x14ac:dyDescent="0.25">
      <c r="B495" s="92"/>
      <c r="C495" s="92"/>
      <c r="D495" s="103"/>
      <c r="E495" s="94"/>
      <c r="F495" s="108"/>
      <c r="G495" s="91"/>
    </row>
    <row r="496" spans="2:7" ht="24.95" customHeight="1" x14ac:dyDescent="0.25">
      <c r="B496" s="92"/>
      <c r="C496" s="92" t="s">
        <v>4</v>
      </c>
      <c r="D496" s="104" t="e">
        <f>#REF!</f>
        <v>#REF!</v>
      </c>
      <c r="E496" s="94" t="s">
        <v>10</v>
      </c>
      <c r="F496" s="109" t="e">
        <f>#REF!</f>
        <v>#REF!</v>
      </c>
      <c r="G496" s="91"/>
    </row>
    <row r="497" spans="2:7" ht="24.95" customHeight="1" x14ac:dyDescent="0.25">
      <c r="B497" s="92"/>
      <c r="C497" s="92" t="s">
        <v>188</v>
      </c>
      <c r="D497" s="104" t="e">
        <f>#REF!</f>
        <v>#REF!</v>
      </c>
      <c r="E497" s="94" t="s">
        <v>11</v>
      </c>
      <c r="F497" s="109" t="e">
        <f>#REF!</f>
        <v>#REF!</v>
      </c>
      <c r="G497" s="91"/>
    </row>
    <row r="498" spans="2:7" ht="24.95" customHeight="1" x14ac:dyDescent="0.25">
      <c r="B498" s="92"/>
      <c r="C498" s="92" t="s">
        <v>6</v>
      </c>
      <c r="D498" s="104" t="e">
        <f>#REF!</f>
        <v>#REF!</v>
      </c>
      <c r="E498" s="94" t="s">
        <v>189</v>
      </c>
      <c r="F498" s="109" t="e">
        <f>#REF!</f>
        <v>#REF!</v>
      </c>
      <c r="G498" s="91"/>
    </row>
    <row r="499" spans="2:7" ht="24.95" customHeight="1" x14ac:dyDescent="0.25">
      <c r="B499" s="92"/>
      <c r="C499" s="92" t="s">
        <v>8</v>
      </c>
      <c r="D499" s="104" t="e">
        <f>#REF!</f>
        <v>#REF!</v>
      </c>
      <c r="E499" s="94" t="s">
        <v>190</v>
      </c>
      <c r="F499" s="109" t="e">
        <f>#REF!</f>
        <v>#REF!</v>
      </c>
      <c r="G499" s="91"/>
    </row>
    <row r="500" spans="2:7" ht="24.95" customHeight="1" thickBot="1" x14ac:dyDescent="0.3">
      <c r="B500" s="92"/>
      <c r="C500" s="95"/>
      <c r="D500" s="105"/>
      <c r="E500" s="96" t="s">
        <v>8</v>
      </c>
      <c r="F500" s="110" t="e">
        <f>#REF!</f>
        <v>#REF!</v>
      </c>
      <c r="G500" s="91"/>
    </row>
    <row r="501" spans="2:7" ht="24.95" customHeight="1" thickTop="1" thickBot="1" x14ac:dyDescent="0.3">
      <c r="B501" s="92"/>
      <c r="C501" s="90"/>
      <c r="D501" s="101"/>
      <c r="E501" s="90"/>
      <c r="F501" s="101"/>
      <c r="G501" s="91"/>
    </row>
    <row r="502" spans="2:7" ht="24.95" customHeight="1" thickTop="1" thickBot="1" x14ac:dyDescent="0.3">
      <c r="B502" s="92"/>
      <c r="C502" s="86" t="s">
        <v>191</v>
      </c>
      <c r="D502" s="106" t="e">
        <f>SUM(D496:D500)</f>
        <v>#REF!</v>
      </c>
      <c r="E502" s="86" t="s">
        <v>192</v>
      </c>
      <c r="F502" s="106" t="e">
        <f>SUM(F496:F500)</f>
        <v>#REF!</v>
      </c>
      <c r="G502" s="91"/>
    </row>
    <row r="503" spans="2:7" ht="24.95" customHeight="1" thickTop="1" x14ac:dyDescent="0.25">
      <c r="B503" s="92"/>
      <c r="C503" s="90"/>
      <c r="D503" s="101"/>
      <c r="E503" s="90"/>
      <c r="F503" s="101"/>
      <c r="G503" s="91"/>
    </row>
    <row r="504" spans="2:7" ht="24.95" customHeight="1" thickBot="1" x14ac:dyDescent="0.3">
      <c r="B504" s="92"/>
      <c r="C504" s="90"/>
      <c r="D504" s="101"/>
      <c r="E504" s="90"/>
      <c r="F504" s="101"/>
      <c r="G504" s="91"/>
    </row>
    <row r="505" spans="2:7" ht="24.95" customHeight="1" thickTop="1" thickBot="1" x14ac:dyDescent="0.3">
      <c r="B505" s="92"/>
      <c r="C505" s="86" t="s">
        <v>193</v>
      </c>
      <c r="D505" s="106" t="e">
        <f>D502-F502</f>
        <v>#REF!</v>
      </c>
      <c r="E505" s="90"/>
      <c r="F505" s="101"/>
      <c r="G505" s="91"/>
    </row>
    <row r="506" spans="2:7" ht="24.95" customHeight="1" thickTop="1" thickBot="1" x14ac:dyDescent="0.3">
      <c r="B506" s="95"/>
      <c r="C506" s="98"/>
      <c r="D506" s="107"/>
      <c r="E506" s="98"/>
      <c r="F506" s="107"/>
      <c r="G506" s="97"/>
    </row>
    <row r="507" spans="2:7" ht="24.95" customHeight="1" thickTop="1" x14ac:dyDescent="0.25">
      <c r="B507" s="90"/>
      <c r="C507" s="90"/>
      <c r="D507" s="101"/>
      <c r="E507" s="90"/>
      <c r="F507" s="101"/>
      <c r="G507" s="90"/>
    </row>
    <row r="508" spans="2:7" ht="24.95" customHeight="1" x14ac:dyDescent="0.25">
      <c r="B508" s="90"/>
      <c r="C508" s="90"/>
      <c r="D508" s="101"/>
      <c r="E508" s="90"/>
      <c r="F508" s="101"/>
      <c r="G508" s="90"/>
    </row>
    <row r="509" spans="2:7" ht="24.95" customHeight="1" x14ac:dyDescent="0.25">
      <c r="B509" s="90"/>
      <c r="C509" s="90"/>
      <c r="D509" s="101"/>
      <c r="E509" s="90"/>
      <c r="F509" s="101"/>
      <c r="G509" s="90"/>
    </row>
    <row r="510" spans="2:7" ht="24.95" customHeight="1" x14ac:dyDescent="0.25">
      <c r="B510" s="90"/>
      <c r="C510" s="90"/>
      <c r="D510" s="101"/>
      <c r="E510" s="90"/>
      <c r="F510" s="101"/>
      <c r="G510" s="90"/>
    </row>
    <row r="511" spans="2:7" ht="24.95" customHeight="1" thickBot="1" x14ac:dyDescent="0.3"/>
    <row r="512" spans="2:7" ht="24.95" customHeight="1" thickTop="1" thickBot="1" x14ac:dyDescent="0.3">
      <c r="B512" s="86" t="s">
        <v>184</v>
      </c>
      <c r="C512" s="86" t="s">
        <v>185</v>
      </c>
      <c r="D512" s="212"/>
      <c r="E512" s="87"/>
      <c r="F512" s="100"/>
      <c r="G512" s="88"/>
    </row>
    <row r="513" spans="2:7" ht="24.95" customHeight="1" thickTop="1" thickBot="1" x14ac:dyDescent="0.3">
      <c r="B513" s="89" t="e">
        <f>#REF!</f>
        <v>#REF!</v>
      </c>
      <c r="C513" s="89" t="str">
        <f>Monthly!$A$4</f>
        <v xml:space="preserve"> 30th April  2021</v>
      </c>
      <c r="D513" s="101"/>
      <c r="E513" s="90"/>
      <c r="F513" s="236" t="s">
        <v>219</v>
      </c>
      <c r="G513" s="91"/>
    </row>
    <row r="514" spans="2:7" ht="24.95" customHeight="1" thickTop="1" x14ac:dyDescent="0.25">
      <c r="B514" s="92"/>
      <c r="C514" s="90"/>
      <c r="D514" s="101"/>
      <c r="E514" s="90"/>
      <c r="F514" s="236" t="s">
        <v>222</v>
      </c>
      <c r="G514" s="91"/>
    </row>
    <row r="515" spans="2:7" ht="24.95" customHeight="1" x14ac:dyDescent="0.25">
      <c r="B515" s="92"/>
      <c r="C515" s="90"/>
      <c r="D515" s="101"/>
      <c r="E515" s="90"/>
      <c r="F515" s="236" t="s">
        <v>61</v>
      </c>
      <c r="G515" s="91"/>
    </row>
    <row r="516" spans="2:7" ht="24.95" customHeight="1" x14ac:dyDescent="0.25">
      <c r="B516" s="92"/>
      <c r="C516" s="90"/>
      <c r="D516" s="101"/>
      <c r="E516" s="90"/>
      <c r="F516" s="101"/>
      <c r="G516" s="91"/>
    </row>
    <row r="517" spans="2:7" ht="24.95" customHeight="1" x14ac:dyDescent="0.25">
      <c r="B517" s="92"/>
      <c r="C517" s="90"/>
      <c r="D517" s="101"/>
      <c r="E517" s="90"/>
      <c r="F517" s="101"/>
      <c r="G517" s="91"/>
    </row>
    <row r="518" spans="2:7" ht="24.95" customHeight="1" x14ac:dyDescent="0.25">
      <c r="B518" s="92"/>
      <c r="C518" s="90"/>
      <c r="D518" s="101"/>
      <c r="E518" s="90"/>
      <c r="F518" s="101"/>
      <c r="G518" s="91"/>
    </row>
    <row r="519" spans="2:7" ht="24.95" customHeight="1" thickBot="1" x14ac:dyDescent="0.3">
      <c r="B519" s="92"/>
      <c r="C519" s="90"/>
      <c r="D519" s="101"/>
      <c r="E519" s="90"/>
      <c r="F519" s="101"/>
      <c r="G519" s="91"/>
    </row>
    <row r="520" spans="2:7" ht="24.95" customHeight="1" thickTop="1" thickBot="1" x14ac:dyDescent="0.3">
      <c r="B520" s="92"/>
      <c r="C520" s="93" t="s">
        <v>186</v>
      </c>
      <c r="D520" s="102"/>
      <c r="E520" s="86" t="s">
        <v>187</v>
      </c>
      <c r="F520" s="111"/>
      <c r="G520" s="91"/>
    </row>
    <row r="521" spans="2:7" ht="24.95" customHeight="1" thickTop="1" x14ac:dyDescent="0.25">
      <c r="B521" s="92"/>
      <c r="C521" s="92"/>
      <c r="D521" s="103"/>
      <c r="E521" s="94"/>
      <c r="F521" s="108"/>
      <c r="G521" s="91"/>
    </row>
    <row r="522" spans="2:7" ht="24.95" customHeight="1" x14ac:dyDescent="0.25">
      <c r="B522" s="92"/>
      <c r="C522" s="92" t="s">
        <v>4</v>
      </c>
      <c r="D522" s="104" t="e">
        <f>#REF!</f>
        <v>#REF!</v>
      </c>
      <c r="E522" s="94" t="s">
        <v>10</v>
      </c>
      <c r="F522" s="109" t="e">
        <f>#REF!</f>
        <v>#REF!</v>
      </c>
      <c r="G522" s="91"/>
    </row>
    <row r="523" spans="2:7" ht="24.95" customHeight="1" x14ac:dyDescent="0.25">
      <c r="B523" s="92"/>
      <c r="C523" s="92" t="s">
        <v>188</v>
      </c>
      <c r="D523" s="104" t="e">
        <f>#REF!</f>
        <v>#REF!</v>
      </c>
      <c r="E523" s="94" t="s">
        <v>11</v>
      </c>
      <c r="F523" s="109" t="e">
        <f>#REF!</f>
        <v>#REF!</v>
      </c>
      <c r="G523" s="91"/>
    </row>
    <row r="524" spans="2:7" ht="24.95" customHeight="1" x14ac:dyDescent="0.25">
      <c r="B524" s="92"/>
      <c r="C524" s="92" t="s">
        <v>6</v>
      </c>
      <c r="D524" s="104" t="e">
        <f>#REF!</f>
        <v>#REF!</v>
      </c>
      <c r="E524" s="94" t="s">
        <v>189</v>
      </c>
      <c r="F524" s="109" t="e">
        <f>#REF!</f>
        <v>#REF!</v>
      </c>
      <c r="G524" s="91"/>
    </row>
    <row r="525" spans="2:7" ht="24.95" customHeight="1" x14ac:dyDescent="0.25">
      <c r="B525" s="92"/>
      <c r="C525" s="92" t="s">
        <v>8</v>
      </c>
      <c r="D525" s="104" t="e">
        <f>#REF!</f>
        <v>#REF!</v>
      </c>
      <c r="E525" s="94" t="s">
        <v>190</v>
      </c>
      <c r="F525" s="109" t="e">
        <f>#REF!</f>
        <v>#REF!</v>
      </c>
      <c r="G525" s="91"/>
    </row>
    <row r="526" spans="2:7" ht="24.95" customHeight="1" thickBot="1" x14ac:dyDescent="0.3">
      <c r="B526" s="92"/>
      <c r="C526" s="95"/>
      <c r="D526" s="105"/>
      <c r="E526" s="96" t="s">
        <v>8</v>
      </c>
      <c r="F526" s="110" t="e">
        <f>#REF!</f>
        <v>#REF!</v>
      </c>
      <c r="G526" s="91"/>
    </row>
    <row r="527" spans="2:7" ht="24.95" customHeight="1" thickTop="1" thickBot="1" x14ac:dyDescent="0.3">
      <c r="B527" s="92"/>
      <c r="C527" s="90"/>
      <c r="D527" s="101"/>
      <c r="E527" s="90"/>
      <c r="F527" s="101"/>
      <c r="G527" s="91"/>
    </row>
    <row r="528" spans="2:7" ht="24.95" customHeight="1" thickTop="1" thickBot="1" x14ac:dyDescent="0.3">
      <c r="B528" s="92"/>
      <c r="C528" s="86" t="s">
        <v>191</v>
      </c>
      <c r="D528" s="106" t="e">
        <f>SUM(D522:D526)</f>
        <v>#REF!</v>
      </c>
      <c r="E528" s="86" t="s">
        <v>192</v>
      </c>
      <c r="F528" s="106" t="e">
        <f>SUM(F522:F526)</f>
        <v>#REF!</v>
      </c>
      <c r="G528" s="91"/>
    </row>
    <row r="529" spans="2:7" ht="24.95" customHeight="1" thickTop="1" x14ac:dyDescent="0.25">
      <c r="B529" s="92"/>
      <c r="C529" s="90"/>
      <c r="D529" s="101"/>
      <c r="E529" s="90"/>
      <c r="F529" s="101"/>
      <c r="G529" s="91"/>
    </row>
    <row r="530" spans="2:7" ht="24.95" customHeight="1" thickBot="1" x14ac:dyDescent="0.3">
      <c r="B530" s="92"/>
      <c r="C530" s="90"/>
      <c r="D530" s="101"/>
      <c r="E530" s="90"/>
      <c r="F530" s="101"/>
      <c r="G530" s="91"/>
    </row>
    <row r="531" spans="2:7" ht="24.95" customHeight="1" thickTop="1" thickBot="1" x14ac:dyDescent="0.3">
      <c r="B531" s="92"/>
      <c r="C531" s="86" t="s">
        <v>193</v>
      </c>
      <c r="D531" s="106" t="e">
        <f>D528-F528</f>
        <v>#REF!</v>
      </c>
      <c r="E531" s="90"/>
      <c r="F531" s="101"/>
      <c r="G531" s="91"/>
    </row>
    <row r="532" spans="2:7" ht="24.95" customHeight="1" thickTop="1" thickBot="1" x14ac:dyDescent="0.3">
      <c r="B532" s="95"/>
      <c r="C532" s="98"/>
      <c r="D532" s="107"/>
      <c r="E532" s="98"/>
      <c r="F532" s="107"/>
      <c r="G532" s="97"/>
    </row>
    <row r="533" spans="2:7" ht="24.95" customHeight="1" thickTop="1" x14ac:dyDescent="0.25">
      <c r="B533" s="90"/>
      <c r="C533" s="90"/>
      <c r="D533" s="101"/>
      <c r="E533" s="90"/>
      <c r="F533" s="101"/>
      <c r="G533" s="90"/>
    </row>
    <row r="534" spans="2:7" ht="24.95" customHeight="1" x14ac:dyDescent="0.25">
      <c r="B534" s="90"/>
      <c r="C534" s="90"/>
      <c r="D534" s="101"/>
      <c r="E534" s="90"/>
      <c r="F534" s="101"/>
      <c r="G534" s="90"/>
    </row>
    <row r="535" spans="2:7" ht="24.95" customHeight="1" x14ac:dyDescent="0.25">
      <c r="B535" s="90"/>
      <c r="C535" s="90"/>
      <c r="D535" s="101"/>
      <c r="E535" s="90"/>
      <c r="F535" s="101"/>
      <c r="G535" s="90"/>
    </row>
    <row r="536" spans="2:7" ht="24.95" customHeight="1" thickBot="1" x14ac:dyDescent="0.3"/>
    <row r="537" spans="2:7" ht="24.95" customHeight="1" thickTop="1" thickBot="1" x14ac:dyDescent="0.3">
      <c r="B537" s="86" t="s">
        <v>184</v>
      </c>
      <c r="C537" s="86" t="s">
        <v>185</v>
      </c>
      <c r="D537" s="100"/>
      <c r="E537" s="87"/>
      <c r="F537" s="100"/>
      <c r="G537" s="88"/>
    </row>
    <row r="538" spans="2:7" ht="24.95" customHeight="1" thickTop="1" thickBot="1" x14ac:dyDescent="0.3">
      <c r="B538" s="89" t="e">
        <f>#REF!</f>
        <v>#REF!</v>
      </c>
      <c r="C538" s="89" t="str">
        <f>Monthly!$A$4</f>
        <v xml:space="preserve"> 30th April  2021</v>
      </c>
      <c r="D538" s="101"/>
      <c r="E538" s="90"/>
      <c r="F538" s="236" t="s">
        <v>219</v>
      </c>
      <c r="G538" s="91"/>
    </row>
    <row r="539" spans="2:7" ht="24.95" customHeight="1" thickTop="1" x14ac:dyDescent="0.25">
      <c r="B539" s="92"/>
      <c r="C539" s="90"/>
      <c r="D539" s="101"/>
      <c r="E539" s="90"/>
      <c r="F539" s="236" t="s">
        <v>222</v>
      </c>
      <c r="G539" s="91"/>
    </row>
    <row r="540" spans="2:7" ht="24.95" customHeight="1" x14ac:dyDescent="0.25">
      <c r="B540" s="92"/>
      <c r="C540" s="90"/>
      <c r="D540" s="101"/>
      <c r="E540" s="90"/>
      <c r="F540" s="236" t="s">
        <v>61</v>
      </c>
      <c r="G540" s="91"/>
    </row>
    <row r="541" spans="2:7" ht="24.95" customHeight="1" x14ac:dyDescent="0.25">
      <c r="B541" s="92"/>
      <c r="C541" s="90"/>
      <c r="D541" s="101"/>
      <c r="E541" s="90"/>
      <c r="F541" s="101"/>
      <c r="G541" s="91"/>
    </row>
    <row r="542" spans="2:7" ht="24.95" customHeight="1" x14ac:dyDescent="0.25">
      <c r="B542" s="92"/>
      <c r="C542" s="90"/>
      <c r="D542" s="101"/>
      <c r="E542" s="90"/>
      <c r="F542" s="101"/>
      <c r="G542" s="91"/>
    </row>
    <row r="543" spans="2:7" ht="24.95" customHeight="1" thickBot="1" x14ac:dyDescent="0.3">
      <c r="B543" s="92"/>
      <c r="C543" s="90"/>
      <c r="D543" s="101"/>
      <c r="E543" s="90"/>
      <c r="F543" s="101"/>
      <c r="G543" s="91"/>
    </row>
    <row r="544" spans="2:7" ht="24.95" customHeight="1" thickTop="1" thickBot="1" x14ac:dyDescent="0.3">
      <c r="B544" s="92"/>
      <c r="C544" s="93" t="s">
        <v>186</v>
      </c>
      <c r="D544" s="102"/>
      <c r="E544" s="86" t="s">
        <v>187</v>
      </c>
      <c r="F544" s="111"/>
      <c r="G544" s="91"/>
    </row>
    <row r="545" spans="2:7" ht="24.95" customHeight="1" thickTop="1" x14ac:dyDescent="0.25">
      <c r="B545" s="92"/>
      <c r="C545" s="92"/>
      <c r="D545" s="103"/>
      <c r="E545" s="94"/>
      <c r="F545" s="108"/>
      <c r="G545" s="91"/>
    </row>
    <row r="546" spans="2:7" ht="24.95" customHeight="1" x14ac:dyDescent="0.25">
      <c r="B546" s="92"/>
      <c r="C546" s="92" t="s">
        <v>4</v>
      </c>
      <c r="D546" s="104" t="e">
        <f>#REF!</f>
        <v>#REF!</v>
      </c>
      <c r="E546" s="94" t="s">
        <v>10</v>
      </c>
      <c r="F546" s="109"/>
      <c r="G546" s="91"/>
    </row>
    <row r="547" spans="2:7" ht="24.95" customHeight="1" x14ac:dyDescent="0.25">
      <c r="B547" s="92"/>
      <c r="C547" s="211" t="s">
        <v>214</v>
      </c>
      <c r="D547" s="104" t="e">
        <f>#REF!</f>
        <v>#REF!</v>
      </c>
      <c r="E547" s="94" t="s">
        <v>11</v>
      </c>
      <c r="F547" s="109" t="e">
        <f>#REF!</f>
        <v>#REF!</v>
      </c>
      <c r="G547" s="91"/>
    </row>
    <row r="548" spans="2:7" ht="24.95" customHeight="1" x14ac:dyDescent="0.25">
      <c r="B548" s="92"/>
      <c r="C548" s="92" t="s">
        <v>6</v>
      </c>
      <c r="D548" s="104"/>
      <c r="E548" s="94" t="s">
        <v>189</v>
      </c>
      <c r="F548" s="109"/>
      <c r="G548" s="91"/>
    </row>
    <row r="549" spans="2:7" ht="24.95" customHeight="1" x14ac:dyDescent="0.25">
      <c r="B549" s="92"/>
      <c r="C549" s="92" t="s">
        <v>8</v>
      </c>
      <c r="D549" s="104" t="e">
        <f>#REF!</f>
        <v>#REF!</v>
      </c>
      <c r="E549" s="94" t="s">
        <v>190</v>
      </c>
      <c r="F549" s="109"/>
      <c r="G549" s="91"/>
    </row>
    <row r="550" spans="2:7" ht="24.95" customHeight="1" thickBot="1" x14ac:dyDescent="0.3">
      <c r="B550" s="92"/>
      <c r="C550" s="95"/>
      <c r="D550" s="105"/>
      <c r="E550" s="96" t="s">
        <v>8</v>
      </c>
      <c r="F550" s="110"/>
      <c r="G550" s="91"/>
    </row>
    <row r="551" spans="2:7" ht="24.95" customHeight="1" thickTop="1" thickBot="1" x14ac:dyDescent="0.3">
      <c r="B551" s="92"/>
      <c r="C551" s="90"/>
      <c r="D551" s="101"/>
      <c r="E551" s="90"/>
      <c r="F551" s="101"/>
      <c r="G551" s="91"/>
    </row>
    <row r="552" spans="2:7" ht="24.95" customHeight="1" thickTop="1" thickBot="1" x14ac:dyDescent="0.3">
      <c r="B552" s="92"/>
      <c r="C552" s="86" t="s">
        <v>191</v>
      </c>
      <c r="D552" s="106" t="e">
        <f>SUM(D546:D550)</f>
        <v>#REF!</v>
      </c>
      <c r="E552" s="86" t="s">
        <v>192</v>
      </c>
      <c r="F552" s="106" t="e">
        <f>SUM(F546:F550)</f>
        <v>#REF!</v>
      </c>
      <c r="G552" s="91"/>
    </row>
    <row r="553" spans="2:7" ht="24.95" customHeight="1" thickTop="1" x14ac:dyDescent="0.25">
      <c r="B553" s="92"/>
      <c r="C553" s="90"/>
      <c r="D553" s="101"/>
      <c r="E553" s="90"/>
      <c r="F553" s="101"/>
      <c r="G553" s="91"/>
    </row>
    <row r="554" spans="2:7" ht="24.95" customHeight="1" thickBot="1" x14ac:dyDescent="0.3">
      <c r="B554" s="92"/>
      <c r="C554" s="90"/>
      <c r="D554" s="101"/>
      <c r="E554" s="90"/>
      <c r="F554" s="101"/>
      <c r="G554" s="91"/>
    </row>
    <row r="555" spans="2:7" ht="24.95" customHeight="1" thickTop="1" thickBot="1" x14ac:dyDescent="0.3">
      <c r="B555" s="92"/>
      <c r="C555" s="86" t="s">
        <v>193</v>
      </c>
      <c r="D555" s="106" t="e">
        <f>D552-F552</f>
        <v>#REF!</v>
      </c>
      <c r="E555" s="90"/>
      <c r="F555" s="101"/>
      <c r="G555" s="91"/>
    </row>
    <row r="556" spans="2:7" ht="24.95" customHeight="1" thickTop="1" thickBot="1" x14ac:dyDescent="0.3">
      <c r="B556" s="95"/>
      <c r="C556" s="98"/>
      <c r="D556" s="107"/>
      <c r="E556" s="98"/>
      <c r="F556" s="107"/>
      <c r="G556" s="97"/>
    </row>
    <row r="557" spans="2:7" ht="24.95" customHeight="1" thickTop="1" x14ac:dyDescent="0.25"/>
    <row r="560" spans="2:7" ht="24.95" customHeight="1" thickBot="1" x14ac:dyDescent="0.3"/>
    <row r="561" spans="2:7" ht="24.95" customHeight="1" thickTop="1" thickBot="1" x14ac:dyDescent="0.3">
      <c r="B561" s="86" t="s">
        <v>184</v>
      </c>
      <c r="C561" s="86" t="s">
        <v>185</v>
      </c>
      <c r="D561" s="100"/>
      <c r="E561" s="87"/>
      <c r="F561" s="100"/>
      <c r="G561" s="88"/>
    </row>
    <row r="562" spans="2:7" ht="24.95" customHeight="1" thickTop="1" thickBot="1" x14ac:dyDescent="0.3">
      <c r="B562" s="89" t="e">
        <f>#REF!</f>
        <v>#REF!</v>
      </c>
      <c r="C562" s="89" t="str">
        <f>Monthly!$A$4</f>
        <v xml:space="preserve"> 30th April  2021</v>
      </c>
      <c r="D562" s="101"/>
      <c r="E562" s="90"/>
      <c r="F562" s="236" t="s">
        <v>219</v>
      </c>
      <c r="G562" s="91"/>
    </row>
    <row r="563" spans="2:7" ht="24.95" customHeight="1" thickTop="1" x14ac:dyDescent="0.25">
      <c r="B563" s="92"/>
      <c r="C563" s="90"/>
      <c r="D563" s="101"/>
      <c r="E563" s="90"/>
      <c r="F563" s="236" t="s">
        <v>222</v>
      </c>
      <c r="G563" s="91"/>
    </row>
    <row r="564" spans="2:7" ht="24.95" customHeight="1" x14ac:dyDescent="0.25">
      <c r="B564" s="92"/>
      <c r="C564" s="90"/>
      <c r="D564" s="101"/>
      <c r="E564" s="90"/>
      <c r="F564" s="236" t="s">
        <v>61</v>
      </c>
      <c r="G564" s="91"/>
    </row>
    <row r="565" spans="2:7" ht="24.95" customHeight="1" x14ac:dyDescent="0.25">
      <c r="B565" s="92"/>
      <c r="C565" s="90"/>
      <c r="D565" s="101"/>
      <c r="E565" s="90"/>
      <c r="F565" s="101"/>
      <c r="G565" s="91"/>
    </row>
    <row r="566" spans="2:7" ht="24.95" customHeight="1" x14ac:dyDescent="0.25">
      <c r="B566" s="92"/>
      <c r="C566" s="90"/>
      <c r="D566" s="101"/>
      <c r="E566" s="90"/>
      <c r="F566" s="101"/>
      <c r="G566" s="91"/>
    </row>
    <row r="567" spans="2:7" ht="24.95" customHeight="1" thickBot="1" x14ac:dyDescent="0.3">
      <c r="B567" s="92"/>
      <c r="C567" s="90"/>
      <c r="D567" s="101"/>
      <c r="E567" s="90"/>
      <c r="F567" s="101"/>
      <c r="G567" s="91"/>
    </row>
    <row r="568" spans="2:7" ht="24.95" customHeight="1" thickTop="1" thickBot="1" x14ac:dyDescent="0.3">
      <c r="B568" s="92"/>
      <c r="C568" s="93" t="s">
        <v>186</v>
      </c>
      <c r="D568" s="102"/>
      <c r="E568" s="86" t="s">
        <v>187</v>
      </c>
      <c r="F568" s="111"/>
      <c r="G568" s="91"/>
    </row>
    <row r="569" spans="2:7" ht="24.95" customHeight="1" thickTop="1" x14ac:dyDescent="0.25">
      <c r="B569" s="92"/>
      <c r="C569" s="92"/>
      <c r="D569" s="103"/>
      <c r="E569" s="94"/>
      <c r="F569" s="108"/>
      <c r="G569" s="91"/>
    </row>
    <row r="570" spans="2:7" ht="24.95" customHeight="1" x14ac:dyDescent="0.25">
      <c r="B570" s="92"/>
      <c r="C570" s="92" t="s">
        <v>4</v>
      </c>
      <c r="D570" s="104" t="e">
        <f>#REF!</f>
        <v>#REF!</v>
      </c>
      <c r="E570" s="94" t="s">
        <v>10</v>
      </c>
      <c r="F570" s="109"/>
      <c r="G570" s="91"/>
    </row>
    <row r="571" spans="2:7" ht="24.95" customHeight="1" x14ac:dyDescent="0.25">
      <c r="B571" s="92"/>
      <c r="C571" s="211" t="s">
        <v>214</v>
      </c>
      <c r="D571" s="104" t="e">
        <f>#REF!</f>
        <v>#REF!</v>
      </c>
      <c r="E571" s="94" t="s">
        <v>11</v>
      </c>
      <c r="F571" s="109" t="e">
        <f>#REF!</f>
        <v>#REF!</v>
      </c>
      <c r="G571" s="91"/>
    </row>
    <row r="572" spans="2:7" ht="24.95" customHeight="1" x14ac:dyDescent="0.25">
      <c r="B572" s="92"/>
      <c r="C572" s="92" t="s">
        <v>6</v>
      </c>
      <c r="D572" s="104"/>
      <c r="E572" s="94" t="s">
        <v>189</v>
      </c>
      <c r="F572" s="109"/>
      <c r="G572" s="91"/>
    </row>
    <row r="573" spans="2:7" ht="24.95" customHeight="1" x14ac:dyDescent="0.25">
      <c r="B573" s="92"/>
      <c r="C573" s="92" t="s">
        <v>8</v>
      </c>
      <c r="D573" s="104" t="e">
        <f>#REF!</f>
        <v>#REF!</v>
      </c>
      <c r="E573" s="94" t="s">
        <v>190</v>
      </c>
      <c r="F573" s="109"/>
      <c r="G573" s="91"/>
    </row>
    <row r="574" spans="2:7" ht="24.95" customHeight="1" thickBot="1" x14ac:dyDescent="0.3">
      <c r="B574" s="92"/>
      <c r="C574" s="95"/>
      <c r="D574" s="105"/>
      <c r="E574" s="96" t="s">
        <v>8</v>
      </c>
      <c r="F574" s="110"/>
      <c r="G574" s="91"/>
    </row>
    <row r="575" spans="2:7" ht="24.95" customHeight="1" thickTop="1" thickBot="1" x14ac:dyDescent="0.3">
      <c r="B575" s="92"/>
      <c r="C575" s="90"/>
      <c r="D575" s="101"/>
      <c r="E575" s="90"/>
      <c r="F575" s="101"/>
      <c r="G575" s="91"/>
    </row>
    <row r="576" spans="2:7" ht="24.95" customHeight="1" thickTop="1" thickBot="1" x14ac:dyDescent="0.3">
      <c r="B576" s="92"/>
      <c r="C576" s="86" t="s">
        <v>191</v>
      </c>
      <c r="D576" s="106" t="e">
        <f>SUM(D570:D574)</f>
        <v>#REF!</v>
      </c>
      <c r="E576" s="86" t="s">
        <v>192</v>
      </c>
      <c r="F576" s="106" t="e">
        <f>SUM(F570:F574)</f>
        <v>#REF!</v>
      </c>
      <c r="G576" s="91"/>
    </row>
    <row r="577" spans="2:7" ht="24.95" customHeight="1" thickTop="1" x14ac:dyDescent="0.25">
      <c r="B577" s="92"/>
      <c r="C577" s="90"/>
      <c r="D577" s="101"/>
      <c r="E577" s="90"/>
      <c r="F577" s="101"/>
      <c r="G577" s="91"/>
    </row>
    <row r="578" spans="2:7" ht="24.95" customHeight="1" thickBot="1" x14ac:dyDescent="0.3">
      <c r="B578" s="92"/>
      <c r="C578" s="90"/>
      <c r="D578" s="101"/>
      <c r="E578" s="90"/>
      <c r="F578" s="101"/>
      <c r="G578" s="91"/>
    </row>
    <row r="579" spans="2:7" ht="24.95" customHeight="1" thickTop="1" thickBot="1" x14ac:dyDescent="0.3">
      <c r="B579" s="92"/>
      <c r="C579" s="86" t="s">
        <v>193</v>
      </c>
      <c r="D579" s="106" t="e">
        <f>D576-F576</f>
        <v>#REF!</v>
      </c>
      <c r="E579" s="90"/>
      <c r="F579" s="101"/>
      <c r="G579" s="91"/>
    </row>
    <row r="580" spans="2:7" ht="24.95" customHeight="1" thickTop="1" thickBot="1" x14ac:dyDescent="0.3">
      <c r="B580" s="95"/>
      <c r="C580" s="213"/>
      <c r="D580" s="214"/>
      <c r="E580" s="98"/>
      <c r="F580" s="107"/>
      <c r="G580" s="97"/>
    </row>
    <row r="581" spans="2:7" ht="24.95" customHeight="1" thickTop="1" x14ac:dyDescent="0.25">
      <c r="B581" s="92"/>
      <c r="C581" s="200"/>
      <c r="D581" s="201"/>
      <c r="E581" s="90"/>
      <c r="F581" s="101"/>
      <c r="G581" s="91"/>
    </row>
    <row r="582" spans="2:7" ht="24.95" customHeight="1" x14ac:dyDescent="0.25">
      <c r="B582" s="92"/>
      <c r="C582" s="200"/>
      <c r="D582" s="201"/>
      <c r="E582" s="90"/>
      <c r="F582" s="101"/>
      <c r="G582" s="91"/>
    </row>
    <row r="583" spans="2:7" ht="24.95" customHeight="1" x14ac:dyDescent="0.25">
      <c r="B583" s="92"/>
      <c r="C583" s="200"/>
      <c r="D583" s="201"/>
      <c r="E583" s="90"/>
      <c r="F583" s="101"/>
      <c r="G583" s="91"/>
    </row>
    <row r="584" spans="2:7" ht="24.95" customHeight="1" thickBot="1" x14ac:dyDescent="0.3">
      <c r="B584" s="95"/>
      <c r="C584" s="98"/>
      <c r="D584" s="107"/>
      <c r="E584" s="98"/>
      <c r="F584" s="107"/>
      <c r="G584" s="97"/>
    </row>
    <row r="585" spans="2:7" ht="24.95" customHeight="1" thickTop="1" thickBot="1" x14ac:dyDescent="0.3">
      <c r="B585" s="86" t="s">
        <v>184</v>
      </c>
      <c r="C585" s="86" t="s">
        <v>185</v>
      </c>
      <c r="D585" s="100"/>
      <c r="E585" s="87"/>
      <c r="F585" s="100"/>
      <c r="G585" s="88"/>
    </row>
    <row r="586" spans="2:7" ht="24.95" customHeight="1" thickTop="1" thickBot="1" x14ac:dyDescent="0.3">
      <c r="B586" s="89" t="str">
        <f>Monthly!A10</f>
        <v>Carl Smith</v>
      </c>
      <c r="C586" s="89" t="str">
        <f>Monthly!$A$4</f>
        <v xml:space="preserve"> 30th April  2021</v>
      </c>
      <c r="D586" s="101"/>
      <c r="E586" s="90"/>
      <c r="F586" s="236" t="s">
        <v>219</v>
      </c>
      <c r="G586" s="91"/>
    </row>
    <row r="587" spans="2:7" ht="24.95" customHeight="1" thickTop="1" x14ac:dyDescent="0.25">
      <c r="B587" s="92"/>
      <c r="C587" s="90"/>
      <c r="D587" s="101"/>
      <c r="E587" s="90"/>
      <c r="F587" s="236" t="s">
        <v>222</v>
      </c>
      <c r="G587" s="91"/>
    </row>
    <row r="588" spans="2:7" ht="24.95" customHeight="1" x14ac:dyDescent="0.25">
      <c r="B588" s="92"/>
      <c r="C588" s="90"/>
      <c r="D588" s="101"/>
      <c r="E588" s="90"/>
      <c r="F588" s="236" t="s">
        <v>61</v>
      </c>
      <c r="G588" s="91"/>
    </row>
    <row r="589" spans="2:7" ht="24.95" customHeight="1" x14ac:dyDescent="0.25">
      <c r="B589" s="92"/>
      <c r="C589" s="90"/>
      <c r="D589" s="101"/>
      <c r="E589" s="90"/>
      <c r="F589" s="101"/>
      <c r="G589" s="91"/>
    </row>
    <row r="590" spans="2:7" ht="24.95" customHeight="1" x14ac:dyDescent="0.25">
      <c r="B590" s="92"/>
      <c r="C590" s="90"/>
      <c r="D590" s="101"/>
      <c r="E590" s="90"/>
      <c r="F590" s="101"/>
      <c r="G590" s="91"/>
    </row>
    <row r="591" spans="2:7" ht="24.95" customHeight="1" thickBot="1" x14ac:dyDescent="0.3">
      <c r="B591" s="92"/>
      <c r="C591" s="90"/>
      <c r="D591" s="101"/>
      <c r="E591" s="90"/>
      <c r="F591" s="101"/>
      <c r="G591" s="91"/>
    </row>
    <row r="592" spans="2:7" ht="24.95" customHeight="1" thickTop="1" thickBot="1" x14ac:dyDescent="0.3">
      <c r="B592" s="92"/>
      <c r="C592" s="93" t="s">
        <v>186</v>
      </c>
      <c r="D592" s="102"/>
      <c r="E592" s="86" t="s">
        <v>187</v>
      </c>
      <c r="F592" s="111"/>
      <c r="G592" s="91"/>
    </row>
    <row r="593" spans="2:7" ht="24.95" customHeight="1" thickTop="1" x14ac:dyDescent="0.25">
      <c r="B593" s="92"/>
      <c r="C593" s="92"/>
      <c r="D593" s="103"/>
      <c r="E593" s="94"/>
      <c r="F593" s="108"/>
      <c r="G593" s="91"/>
    </row>
    <row r="594" spans="2:7" ht="24.95" customHeight="1" x14ac:dyDescent="0.25">
      <c r="B594" s="92"/>
      <c r="C594" s="92" t="s">
        <v>4</v>
      </c>
      <c r="D594" s="104">
        <f>Monthly!G9</f>
        <v>1815.44</v>
      </c>
      <c r="E594" s="94" t="s">
        <v>10</v>
      </c>
      <c r="F594" s="109">
        <f>Monthly!L9</f>
        <v>0</v>
      </c>
      <c r="G594" s="91"/>
    </row>
    <row r="595" spans="2:7" ht="24.95" customHeight="1" x14ac:dyDescent="0.25">
      <c r="B595" s="92"/>
      <c r="C595" s="92" t="s">
        <v>188</v>
      </c>
      <c r="D595" s="104"/>
      <c r="E595" s="94" t="s">
        <v>11</v>
      </c>
      <c r="F595" s="109">
        <f>Monthly!M9</f>
        <v>90.77</v>
      </c>
      <c r="G595" s="91"/>
    </row>
    <row r="596" spans="2:7" ht="24.95" customHeight="1" x14ac:dyDescent="0.25">
      <c r="B596" s="92"/>
      <c r="C596" s="92" t="s">
        <v>6</v>
      </c>
      <c r="D596" s="104"/>
      <c r="E596" s="94" t="s">
        <v>189</v>
      </c>
      <c r="F596" s="109">
        <f>Monthly!N9</f>
        <v>0</v>
      </c>
      <c r="G596" s="91"/>
    </row>
    <row r="597" spans="2:7" ht="24.95" customHeight="1" x14ac:dyDescent="0.25">
      <c r="B597" s="92"/>
      <c r="C597" s="92" t="s">
        <v>8</v>
      </c>
      <c r="D597" s="104" t="e">
        <f>#REF!</f>
        <v>#REF!</v>
      </c>
      <c r="E597" s="94" t="s">
        <v>190</v>
      </c>
      <c r="F597" s="109" t="e">
        <f>Monthly!#REF!</f>
        <v>#REF!</v>
      </c>
      <c r="G597" s="91"/>
    </row>
    <row r="598" spans="2:7" ht="24.95" customHeight="1" thickBot="1" x14ac:dyDescent="0.3">
      <c r="B598" s="92"/>
      <c r="C598" s="95"/>
      <c r="D598" s="105"/>
      <c r="E598" s="96" t="s">
        <v>8</v>
      </c>
      <c r="F598" s="110">
        <f>Monthly!O9</f>
        <v>0</v>
      </c>
      <c r="G598" s="91"/>
    </row>
    <row r="599" spans="2:7" ht="24.95" customHeight="1" thickTop="1" thickBot="1" x14ac:dyDescent="0.3">
      <c r="B599" s="92"/>
      <c r="C599" s="90"/>
      <c r="D599" s="101"/>
      <c r="E599" s="90"/>
      <c r="F599" s="101"/>
      <c r="G599" s="91"/>
    </row>
    <row r="600" spans="2:7" ht="24.95" customHeight="1" thickTop="1" thickBot="1" x14ac:dyDescent="0.3">
      <c r="B600" s="92"/>
      <c r="C600" s="86" t="s">
        <v>191</v>
      </c>
      <c r="D600" s="106" t="e">
        <f>SUM(D594:D598)</f>
        <v>#REF!</v>
      </c>
      <c r="E600" s="86" t="s">
        <v>192</v>
      </c>
      <c r="F600" s="106" t="e">
        <f>SUM(F594:F598)</f>
        <v>#REF!</v>
      </c>
      <c r="G600" s="91"/>
    </row>
    <row r="601" spans="2:7" ht="24.95" customHeight="1" thickTop="1" x14ac:dyDescent="0.25">
      <c r="B601" s="92"/>
      <c r="C601" s="90"/>
      <c r="D601" s="101"/>
      <c r="E601" s="90"/>
      <c r="F601" s="101"/>
      <c r="G601" s="91"/>
    </row>
    <row r="602" spans="2:7" ht="24.95" customHeight="1" thickBot="1" x14ac:dyDescent="0.3">
      <c r="B602" s="92"/>
      <c r="C602" s="90"/>
      <c r="D602" s="101"/>
      <c r="E602" s="90"/>
      <c r="F602" s="101"/>
      <c r="G602" s="91"/>
    </row>
    <row r="603" spans="2:7" ht="24.95" customHeight="1" thickTop="1" thickBot="1" x14ac:dyDescent="0.3">
      <c r="B603" s="92"/>
      <c r="C603" s="86" t="s">
        <v>193</v>
      </c>
      <c r="D603" s="106" t="e">
        <f>D600-F600</f>
        <v>#REF!</v>
      </c>
      <c r="E603" s="90"/>
      <c r="F603" s="101"/>
      <c r="G603" s="91"/>
    </row>
    <row r="604" spans="2:7" ht="24.95" customHeight="1" thickTop="1" thickBot="1" x14ac:dyDescent="0.3">
      <c r="B604" s="95"/>
      <c r="C604" s="213"/>
      <c r="D604" s="214"/>
      <c r="E604" s="98"/>
      <c r="F604" s="107"/>
      <c r="G604" s="97"/>
    </row>
    <row r="605" spans="2:7" ht="24.95" customHeight="1" thickTop="1" x14ac:dyDescent="0.25">
      <c r="B605" s="92"/>
      <c r="C605" s="200"/>
      <c r="D605" s="201"/>
      <c r="E605" s="90"/>
      <c r="F605" s="101"/>
      <c r="G605" s="91"/>
    </row>
    <row r="606" spans="2:7" ht="24.95" customHeight="1" x14ac:dyDescent="0.25">
      <c r="B606" s="92"/>
      <c r="C606" s="200"/>
      <c r="D606" s="201"/>
      <c r="E606" s="90"/>
      <c r="F606" s="101"/>
      <c r="G606" s="91"/>
    </row>
    <row r="607" spans="2:7" ht="24.95" customHeight="1" x14ac:dyDescent="0.25">
      <c r="B607" s="92"/>
      <c r="C607" s="200"/>
      <c r="D607" s="201"/>
      <c r="E607" s="90"/>
      <c r="F607" s="101"/>
      <c r="G607" s="91"/>
    </row>
    <row r="608" spans="2:7" ht="24.95" customHeight="1" thickBot="1" x14ac:dyDescent="0.3">
      <c r="B608" s="95"/>
      <c r="C608" s="98"/>
      <c r="D608" s="107"/>
      <c r="E608" s="98"/>
      <c r="F608" s="107"/>
      <c r="G608" s="97"/>
    </row>
    <row r="609" spans="2:7" ht="24.95" customHeight="1" thickTop="1" thickBot="1" x14ac:dyDescent="0.3">
      <c r="B609" s="86" t="s">
        <v>184</v>
      </c>
      <c r="C609" s="86" t="s">
        <v>185</v>
      </c>
      <c r="D609" s="100"/>
      <c r="E609" s="87"/>
      <c r="F609" s="100"/>
      <c r="G609" s="88"/>
    </row>
    <row r="610" spans="2:7" ht="24.95" customHeight="1" thickTop="1" thickBot="1" x14ac:dyDescent="0.3">
      <c r="B610" s="89" t="str">
        <f>Monthly!A11</f>
        <v>Dexter Lett</v>
      </c>
      <c r="C610" s="89" t="str">
        <f>Monthly!$A$4</f>
        <v xml:space="preserve"> 30th April  2021</v>
      </c>
      <c r="D610" s="101"/>
      <c r="E610" s="90"/>
      <c r="F610" s="236" t="s">
        <v>219</v>
      </c>
      <c r="G610" s="91"/>
    </row>
    <row r="611" spans="2:7" ht="24.95" customHeight="1" thickTop="1" x14ac:dyDescent="0.25">
      <c r="B611" s="92"/>
      <c r="C611" s="90"/>
      <c r="D611" s="101"/>
      <c r="E611" s="90"/>
      <c r="F611" s="236" t="s">
        <v>222</v>
      </c>
      <c r="G611" s="91"/>
    </row>
    <row r="612" spans="2:7" ht="24.95" customHeight="1" x14ac:dyDescent="0.25">
      <c r="B612" s="92"/>
      <c r="C612" s="90"/>
      <c r="D612" s="101"/>
      <c r="E612" s="90"/>
      <c r="F612" s="236" t="s">
        <v>61</v>
      </c>
      <c r="G612" s="91"/>
    </row>
    <row r="613" spans="2:7" ht="24.95" customHeight="1" x14ac:dyDescent="0.25">
      <c r="B613" s="92"/>
      <c r="C613" s="90"/>
      <c r="D613" s="101"/>
      <c r="E613" s="90"/>
      <c r="F613" s="101"/>
      <c r="G613" s="91"/>
    </row>
    <row r="614" spans="2:7" ht="24.95" customHeight="1" x14ac:dyDescent="0.25">
      <c r="B614" s="92"/>
      <c r="C614" s="90"/>
      <c r="D614" s="101"/>
      <c r="E614" s="90"/>
      <c r="F614" s="101"/>
      <c r="G614" s="91"/>
    </row>
    <row r="615" spans="2:7" ht="24.95" customHeight="1" thickBot="1" x14ac:dyDescent="0.3">
      <c r="B615" s="92"/>
      <c r="C615" s="90"/>
      <c r="D615" s="101"/>
      <c r="E615" s="90"/>
      <c r="F615" s="101"/>
      <c r="G615" s="91"/>
    </row>
    <row r="616" spans="2:7" ht="24.95" customHeight="1" thickTop="1" thickBot="1" x14ac:dyDescent="0.3">
      <c r="B616" s="92"/>
      <c r="C616" s="93" t="s">
        <v>186</v>
      </c>
      <c r="D616" s="102"/>
      <c r="E616" s="86" t="s">
        <v>187</v>
      </c>
      <c r="F616" s="111"/>
      <c r="G616" s="91"/>
    </row>
    <row r="617" spans="2:7" ht="24.95" customHeight="1" thickTop="1" x14ac:dyDescent="0.25">
      <c r="B617" s="92"/>
      <c r="C617" s="92"/>
      <c r="D617" s="103"/>
      <c r="E617" s="94"/>
      <c r="F617" s="108"/>
      <c r="G617" s="91"/>
    </row>
    <row r="618" spans="2:7" ht="24.95" customHeight="1" x14ac:dyDescent="0.25">
      <c r="B618" s="92"/>
      <c r="C618" s="92" t="s">
        <v>4</v>
      </c>
      <c r="D618" s="104">
        <f>Monthly!G10</f>
        <v>1591.2</v>
      </c>
      <c r="E618" s="94" t="s">
        <v>10</v>
      </c>
      <c r="F618" s="109">
        <f>Monthly!L10</f>
        <v>0</v>
      </c>
      <c r="G618" s="91"/>
    </row>
    <row r="619" spans="2:7" ht="24.95" customHeight="1" x14ac:dyDescent="0.25">
      <c r="B619" s="92"/>
      <c r="C619" s="92" t="s">
        <v>188</v>
      </c>
      <c r="D619" s="104"/>
      <c r="E619" s="94" t="s">
        <v>11</v>
      </c>
      <c r="F619" s="109">
        <f>Monthly!M10</f>
        <v>79.56</v>
      </c>
      <c r="G619" s="91"/>
    </row>
    <row r="620" spans="2:7" ht="24.95" customHeight="1" x14ac:dyDescent="0.25">
      <c r="B620" s="92"/>
      <c r="C620" s="92" t="s">
        <v>6</v>
      </c>
      <c r="D620" s="104"/>
      <c r="E620" s="94" t="s">
        <v>189</v>
      </c>
      <c r="F620" s="109">
        <f>Monthly!N10</f>
        <v>25</v>
      </c>
      <c r="G620" s="91"/>
    </row>
    <row r="621" spans="2:7" ht="24.95" customHeight="1" x14ac:dyDescent="0.25">
      <c r="B621" s="92"/>
      <c r="C621" s="92" t="s">
        <v>8</v>
      </c>
      <c r="D621" s="104" t="e">
        <f>#REF!</f>
        <v>#REF!</v>
      </c>
      <c r="E621" s="94" t="s">
        <v>190</v>
      </c>
      <c r="F621" s="109" t="e">
        <f>Monthly!#REF!</f>
        <v>#REF!</v>
      </c>
      <c r="G621" s="91"/>
    </row>
    <row r="622" spans="2:7" ht="24.95" customHeight="1" thickBot="1" x14ac:dyDescent="0.3">
      <c r="B622" s="92"/>
      <c r="C622" s="95"/>
      <c r="D622" s="105"/>
      <c r="E622" s="96" t="s">
        <v>8</v>
      </c>
      <c r="F622" s="110">
        <f>Monthly!O11</f>
        <v>0</v>
      </c>
      <c r="G622" s="91"/>
    </row>
    <row r="623" spans="2:7" ht="24.95" customHeight="1" thickTop="1" thickBot="1" x14ac:dyDescent="0.3">
      <c r="B623" s="92"/>
      <c r="C623" s="90"/>
      <c r="D623" s="101"/>
      <c r="E623" s="90"/>
      <c r="F623" s="101"/>
      <c r="G623" s="91"/>
    </row>
    <row r="624" spans="2:7" ht="24.95" customHeight="1" thickTop="1" thickBot="1" x14ac:dyDescent="0.3">
      <c r="B624" s="92"/>
      <c r="C624" s="86" t="s">
        <v>191</v>
      </c>
      <c r="D624" s="106" t="e">
        <f>SUM(D618:D622)</f>
        <v>#REF!</v>
      </c>
      <c r="E624" s="86" t="s">
        <v>192</v>
      </c>
      <c r="F624" s="106" t="e">
        <f>SUM(F618:F622)</f>
        <v>#REF!</v>
      </c>
      <c r="G624" s="91"/>
    </row>
    <row r="625" spans="2:7" ht="24.95" customHeight="1" thickTop="1" x14ac:dyDescent="0.25">
      <c r="B625" s="92"/>
      <c r="C625" s="90"/>
      <c r="D625" s="101"/>
      <c r="E625" s="90"/>
      <c r="F625" s="101"/>
      <c r="G625" s="91"/>
    </row>
    <row r="626" spans="2:7" ht="24.95" customHeight="1" thickBot="1" x14ac:dyDescent="0.3">
      <c r="B626" s="92"/>
      <c r="C626" s="90"/>
      <c r="D626" s="101"/>
      <c r="E626" s="90"/>
      <c r="F626" s="101"/>
      <c r="G626" s="91"/>
    </row>
    <row r="627" spans="2:7" ht="24.95" customHeight="1" thickTop="1" thickBot="1" x14ac:dyDescent="0.3">
      <c r="B627" s="92"/>
      <c r="C627" s="86" t="s">
        <v>193</v>
      </c>
      <c r="D627" s="106" t="e">
        <f>D624-F624</f>
        <v>#REF!</v>
      </c>
      <c r="E627" s="90"/>
      <c r="F627" s="101"/>
      <c r="G627" s="91"/>
    </row>
    <row r="628" spans="2:7" ht="24.95" customHeight="1" thickTop="1" thickBot="1" x14ac:dyDescent="0.3">
      <c r="B628" s="95"/>
      <c r="C628" s="213"/>
      <c r="D628" s="214"/>
      <c r="E628" s="98"/>
      <c r="F628" s="107"/>
      <c r="G628" s="97"/>
    </row>
    <row r="629" spans="2:7" ht="24.95" customHeight="1" thickTop="1" x14ac:dyDescent="0.25">
      <c r="B629" s="92"/>
      <c r="C629" s="200"/>
      <c r="D629" s="201"/>
      <c r="E629" s="90"/>
      <c r="F629" s="101"/>
      <c r="G629" s="91"/>
    </row>
    <row r="630" spans="2:7" ht="24.95" customHeight="1" x14ac:dyDescent="0.25">
      <c r="B630" s="92"/>
      <c r="C630" s="200"/>
      <c r="D630" s="201"/>
      <c r="E630" s="90"/>
      <c r="F630" s="101"/>
      <c r="G630" s="91"/>
    </row>
    <row r="631" spans="2:7" ht="24.95" customHeight="1" x14ac:dyDescent="0.25">
      <c r="B631" s="92"/>
      <c r="C631" s="200"/>
      <c r="D631" s="201"/>
      <c r="E631" s="90"/>
      <c r="F631" s="101"/>
      <c r="G631" s="91"/>
    </row>
    <row r="632" spans="2:7" ht="24.95" customHeight="1" thickBot="1" x14ac:dyDescent="0.3">
      <c r="B632" s="95"/>
      <c r="C632" s="98"/>
      <c r="D632" s="107"/>
      <c r="E632" s="98"/>
      <c r="F632" s="107"/>
      <c r="G632" s="97"/>
    </row>
    <row r="633" spans="2:7" ht="24.95" customHeight="1" thickTop="1" thickBot="1" x14ac:dyDescent="0.3">
      <c r="B633" s="86" t="s">
        <v>184</v>
      </c>
      <c r="C633" s="86" t="s">
        <v>185</v>
      </c>
      <c r="D633" s="100"/>
      <c r="E633" s="87"/>
      <c r="F633" s="100"/>
      <c r="G633" s="88"/>
    </row>
    <row r="634" spans="2:7" ht="24.95" customHeight="1" thickTop="1" thickBot="1" x14ac:dyDescent="0.3">
      <c r="B634" s="89" t="e">
        <f>Monthly!#REF!</f>
        <v>#REF!</v>
      </c>
      <c r="C634" s="89" t="str">
        <f>Monthly!$A$4</f>
        <v xml:space="preserve"> 30th April  2021</v>
      </c>
      <c r="D634" s="101"/>
      <c r="E634" s="90"/>
      <c r="F634" s="236" t="s">
        <v>219</v>
      </c>
      <c r="G634" s="91"/>
    </row>
    <row r="635" spans="2:7" ht="24.95" customHeight="1" thickTop="1" x14ac:dyDescent="0.25">
      <c r="B635" s="92"/>
      <c r="C635" s="90"/>
      <c r="D635" s="101"/>
      <c r="E635" s="90"/>
      <c r="F635" s="236" t="s">
        <v>222</v>
      </c>
      <c r="G635" s="91"/>
    </row>
    <row r="636" spans="2:7" ht="24.95" customHeight="1" x14ac:dyDescent="0.25">
      <c r="B636" s="92"/>
      <c r="C636" s="90"/>
      <c r="D636" s="101"/>
      <c r="E636" s="90"/>
      <c r="F636" s="236" t="s">
        <v>61</v>
      </c>
      <c r="G636" s="91"/>
    </row>
    <row r="637" spans="2:7" ht="24.95" customHeight="1" x14ac:dyDescent="0.25">
      <c r="B637" s="92"/>
      <c r="C637" s="90"/>
      <c r="D637" s="101"/>
      <c r="E637" s="90"/>
      <c r="F637" s="101"/>
      <c r="G637" s="91"/>
    </row>
    <row r="638" spans="2:7" ht="24.95" customHeight="1" x14ac:dyDescent="0.25">
      <c r="B638" s="92"/>
      <c r="C638" s="90"/>
      <c r="D638" s="101"/>
      <c r="E638" s="90"/>
      <c r="F638" s="101"/>
      <c r="G638" s="91"/>
    </row>
    <row r="639" spans="2:7" ht="24.95" customHeight="1" thickBot="1" x14ac:dyDescent="0.3">
      <c r="B639" s="92"/>
      <c r="C639" s="90"/>
      <c r="D639" s="101"/>
      <c r="E639" s="90"/>
      <c r="F639" s="101"/>
      <c r="G639" s="91"/>
    </row>
    <row r="640" spans="2:7" ht="24.95" customHeight="1" thickTop="1" thickBot="1" x14ac:dyDescent="0.3">
      <c r="B640" s="92"/>
      <c r="C640" s="93" t="s">
        <v>186</v>
      </c>
      <c r="D640" s="102"/>
      <c r="E640" s="86" t="s">
        <v>187</v>
      </c>
      <c r="F640" s="111"/>
      <c r="G640" s="91"/>
    </row>
    <row r="641" spans="2:7" ht="24.95" customHeight="1" thickTop="1" x14ac:dyDescent="0.25">
      <c r="B641" s="92"/>
      <c r="C641" s="92"/>
      <c r="D641" s="103"/>
      <c r="E641" s="94"/>
      <c r="F641" s="108"/>
      <c r="G641" s="91"/>
    </row>
    <row r="642" spans="2:7" ht="24.95" customHeight="1" x14ac:dyDescent="0.25">
      <c r="B642" s="92"/>
      <c r="C642" s="211" t="s">
        <v>215</v>
      </c>
      <c r="D642" s="104" t="e">
        <f>Monthly!#REF!</f>
        <v>#REF!</v>
      </c>
      <c r="E642" s="94" t="s">
        <v>10</v>
      </c>
      <c r="F642" s="109" t="e">
        <f>Monthly!#REF!</f>
        <v>#REF!</v>
      </c>
      <c r="G642" s="91"/>
    </row>
    <row r="643" spans="2:7" ht="24.95" customHeight="1" x14ac:dyDescent="0.25">
      <c r="B643" s="92"/>
      <c r="C643" s="211" t="s">
        <v>216</v>
      </c>
      <c r="D643" s="104" t="e">
        <f>Monthly!#REF!</f>
        <v>#REF!</v>
      </c>
      <c r="E643" s="94" t="s">
        <v>11</v>
      </c>
      <c r="F643" s="109" t="e">
        <f>Monthly!#REF!</f>
        <v>#REF!</v>
      </c>
      <c r="G643" s="91"/>
    </row>
    <row r="644" spans="2:7" ht="24.95" customHeight="1" x14ac:dyDescent="0.25">
      <c r="B644" s="92"/>
      <c r="C644" s="211" t="s">
        <v>217</v>
      </c>
      <c r="D644" s="104"/>
      <c r="E644" s="94" t="s">
        <v>189</v>
      </c>
      <c r="F644" s="109" t="e">
        <f>Monthly!#REF!</f>
        <v>#REF!</v>
      </c>
      <c r="G644" s="91"/>
    </row>
    <row r="645" spans="2:7" ht="24.95" customHeight="1" x14ac:dyDescent="0.25">
      <c r="B645" s="92"/>
      <c r="C645" s="92" t="s">
        <v>8</v>
      </c>
      <c r="D645" s="104" t="e">
        <f>#REF!</f>
        <v>#REF!</v>
      </c>
      <c r="E645" s="94" t="s">
        <v>190</v>
      </c>
      <c r="F645" s="109" t="e">
        <f>Monthly!#REF!</f>
        <v>#REF!</v>
      </c>
      <c r="G645" s="91"/>
    </row>
    <row r="646" spans="2:7" ht="24.95" customHeight="1" thickBot="1" x14ac:dyDescent="0.3">
      <c r="B646" s="92"/>
      <c r="C646" s="95"/>
      <c r="D646" s="105"/>
      <c r="E646" s="96" t="s">
        <v>8</v>
      </c>
      <c r="F646" s="110" t="e">
        <f>Monthly!#REF!</f>
        <v>#REF!</v>
      </c>
      <c r="G646" s="91"/>
    </row>
    <row r="647" spans="2:7" ht="24.95" customHeight="1" thickTop="1" thickBot="1" x14ac:dyDescent="0.3">
      <c r="B647" s="92"/>
      <c r="C647" s="90"/>
      <c r="D647" s="101"/>
      <c r="E647" s="90"/>
      <c r="F647" s="101"/>
      <c r="G647" s="91"/>
    </row>
    <row r="648" spans="2:7" ht="24.95" customHeight="1" thickTop="1" thickBot="1" x14ac:dyDescent="0.3">
      <c r="B648" s="92"/>
      <c r="C648" s="86" t="s">
        <v>191</v>
      </c>
      <c r="D648" s="106" t="e">
        <f>SUM(D642:D646)</f>
        <v>#REF!</v>
      </c>
      <c r="E648" s="86" t="s">
        <v>192</v>
      </c>
      <c r="F648" s="106" t="e">
        <f>SUM(F642:F646)</f>
        <v>#REF!</v>
      </c>
      <c r="G648" s="91"/>
    </row>
    <row r="649" spans="2:7" ht="24.95" customHeight="1" thickTop="1" x14ac:dyDescent="0.25">
      <c r="B649" s="92"/>
      <c r="C649" s="90"/>
      <c r="D649" s="101"/>
      <c r="E649" s="90"/>
      <c r="F649" s="101"/>
      <c r="G649" s="91"/>
    </row>
    <row r="650" spans="2:7" ht="24.95" customHeight="1" thickBot="1" x14ac:dyDescent="0.3">
      <c r="B650" s="92"/>
      <c r="C650" s="90"/>
      <c r="D650" s="101"/>
      <c r="E650" s="90"/>
      <c r="F650" s="101"/>
      <c r="G650" s="91"/>
    </row>
    <row r="651" spans="2:7" ht="24.95" customHeight="1" thickTop="1" thickBot="1" x14ac:dyDescent="0.3">
      <c r="B651" s="92"/>
      <c r="C651" s="86" t="s">
        <v>193</v>
      </c>
      <c r="D651" s="106" t="e">
        <f>D648-F648</f>
        <v>#REF!</v>
      </c>
      <c r="E651" s="90"/>
      <c r="F651" s="101"/>
      <c r="G651" s="91"/>
    </row>
    <row r="652" spans="2:7" ht="24.95" customHeight="1" thickTop="1" thickBot="1" x14ac:dyDescent="0.3">
      <c r="B652" s="95"/>
      <c r="C652" s="213"/>
      <c r="D652" s="214"/>
      <c r="E652" s="98"/>
      <c r="F652" s="107"/>
      <c r="G652" s="97"/>
    </row>
    <row r="653" spans="2:7" ht="24.95" customHeight="1" thickTop="1" x14ac:dyDescent="0.25">
      <c r="B653" s="92"/>
      <c r="C653" s="200"/>
      <c r="D653" s="201"/>
      <c r="E653" s="90"/>
      <c r="F653" s="101"/>
      <c r="G653" s="91"/>
    </row>
    <row r="654" spans="2:7" ht="24.95" customHeight="1" x14ac:dyDescent="0.25">
      <c r="B654" s="92"/>
      <c r="C654" s="200"/>
      <c r="D654" s="201"/>
      <c r="E654" s="90"/>
      <c r="F654" s="101"/>
      <c r="G654" s="91"/>
    </row>
    <row r="655" spans="2:7" ht="24.95" customHeight="1" x14ac:dyDescent="0.25">
      <c r="B655" s="92"/>
      <c r="C655" s="200"/>
      <c r="D655" s="201"/>
      <c r="E655" s="90"/>
      <c r="F655" s="101"/>
      <c r="G655" s="91"/>
    </row>
    <row r="656" spans="2:7" ht="24.95" customHeight="1" thickBot="1" x14ac:dyDescent="0.3">
      <c r="B656" s="95"/>
      <c r="C656" s="98"/>
      <c r="D656" s="107"/>
      <c r="E656" s="98"/>
      <c r="F656" s="107"/>
      <c r="G656" s="97"/>
    </row>
    <row r="657" spans="2:7" ht="24.95" customHeight="1" thickTop="1" thickBot="1" x14ac:dyDescent="0.3">
      <c r="B657" s="86" t="s">
        <v>184</v>
      </c>
      <c r="C657" s="86" t="s">
        <v>185</v>
      </c>
      <c r="D657" s="100"/>
      <c r="E657" s="87"/>
      <c r="F657" s="100"/>
      <c r="G657" s="88"/>
    </row>
    <row r="658" spans="2:7" ht="24.95" customHeight="1" thickTop="1" thickBot="1" x14ac:dyDescent="0.3">
      <c r="B658" s="89" t="e">
        <f>Monthly!#REF!</f>
        <v>#REF!</v>
      </c>
      <c r="C658" s="89" t="str">
        <f>Monthly!$A$4</f>
        <v xml:space="preserve"> 30th April  2021</v>
      </c>
      <c r="D658" s="101"/>
      <c r="E658" s="90"/>
      <c r="F658" s="236" t="s">
        <v>219</v>
      </c>
      <c r="G658" s="91"/>
    </row>
    <row r="659" spans="2:7" ht="24.95" customHeight="1" thickTop="1" x14ac:dyDescent="0.25">
      <c r="B659" s="92"/>
      <c r="C659" s="90"/>
      <c r="D659" s="101"/>
      <c r="E659" s="90"/>
      <c r="F659" s="236" t="s">
        <v>222</v>
      </c>
      <c r="G659" s="91"/>
    </row>
    <row r="660" spans="2:7" ht="24.95" customHeight="1" x14ac:dyDescent="0.25">
      <c r="B660" s="92"/>
      <c r="C660" s="90"/>
      <c r="D660" s="101"/>
      <c r="E660" s="90"/>
      <c r="F660" s="236" t="s">
        <v>61</v>
      </c>
      <c r="G660" s="91"/>
    </row>
    <row r="661" spans="2:7" ht="24.95" customHeight="1" x14ac:dyDescent="0.25">
      <c r="B661" s="92"/>
      <c r="C661" s="90"/>
      <c r="D661" s="101"/>
      <c r="E661" s="90"/>
      <c r="F661" s="101"/>
      <c r="G661" s="91"/>
    </row>
    <row r="662" spans="2:7" ht="24.95" customHeight="1" x14ac:dyDescent="0.25">
      <c r="B662" s="92"/>
      <c r="C662" s="90"/>
      <c r="D662" s="101"/>
      <c r="E662" s="90"/>
      <c r="F662" s="101"/>
      <c r="G662" s="91"/>
    </row>
    <row r="663" spans="2:7" ht="24.95" customHeight="1" thickBot="1" x14ac:dyDescent="0.3">
      <c r="B663" s="92"/>
      <c r="C663" s="90"/>
      <c r="D663" s="101"/>
      <c r="E663" s="90"/>
      <c r="F663" s="101"/>
      <c r="G663" s="91"/>
    </row>
    <row r="664" spans="2:7" ht="24.95" customHeight="1" thickTop="1" thickBot="1" x14ac:dyDescent="0.3">
      <c r="B664" s="92"/>
      <c r="C664" s="93" t="s">
        <v>186</v>
      </c>
      <c r="D664" s="102"/>
      <c r="E664" s="86" t="s">
        <v>187</v>
      </c>
      <c r="F664" s="111"/>
      <c r="G664" s="91"/>
    </row>
    <row r="665" spans="2:7" ht="24.95" customHeight="1" thickTop="1" x14ac:dyDescent="0.25">
      <c r="B665" s="92"/>
      <c r="C665" s="92"/>
      <c r="D665" s="103"/>
      <c r="E665" s="94"/>
      <c r="F665" s="108"/>
      <c r="G665" s="91"/>
    </row>
    <row r="666" spans="2:7" ht="24.95" customHeight="1" x14ac:dyDescent="0.25">
      <c r="B666" s="92"/>
      <c r="C666" s="211" t="s">
        <v>215</v>
      </c>
      <c r="D666" s="104" t="e">
        <f>Monthly!#REF!</f>
        <v>#REF!</v>
      </c>
      <c r="E666" s="94" t="s">
        <v>10</v>
      </c>
      <c r="F666" s="109" t="e">
        <f>Monthly!#REF!</f>
        <v>#REF!</v>
      </c>
      <c r="G666" s="91"/>
    </row>
    <row r="667" spans="2:7" ht="24.95" customHeight="1" x14ac:dyDescent="0.25">
      <c r="B667" s="92"/>
      <c r="C667" s="211" t="s">
        <v>216</v>
      </c>
      <c r="D667" s="104" t="e">
        <f>Monthly!#REF!</f>
        <v>#REF!</v>
      </c>
      <c r="E667" s="94" t="s">
        <v>11</v>
      </c>
      <c r="F667" s="109" t="e">
        <f>Monthly!#REF!</f>
        <v>#REF!</v>
      </c>
      <c r="G667" s="91"/>
    </row>
    <row r="668" spans="2:7" ht="24.95" customHeight="1" x14ac:dyDescent="0.25">
      <c r="B668" s="92"/>
      <c r="C668" s="225" t="s">
        <v>153</v>
      </c>
      <c r="D668" s="104" t="e">
        <f>Monthly!#REF!</f>
        <v>#REF!</v>
      </c>
      <c r="E668" s="94" t="s">
        <v>189</v>
      </c>
      <c r="F668" s="109" t="e">
        <f>Monthly!#REF!</f>
        <v>#REF!</v>
      </c>
      <c r="G668" s="91"/>
    </row>
    <row r="669" spans="2:7" ht="24.95" customHeight="1" x14ac:dyDescent="0.25">
      <c r="B669" s="92"/>
      <c r="C669" s="92" t="s">
        <v>8</v>
      </c>
      <c r="D669" s="104" t="e">
        <f>#REF!</f>
        <v>#REF!</v>
      </c>
      <c r="E669" s="94" t="s">
        <v>190</v>
      </c>
      <c r="F669" s="109" t="e">
        <f>Monthly!#REF!</f>
        <v>#REF!</v>
      </c>
      <c r="G669" s="91"/>
    </row>
    <row r="670" spans="2:7" ht="24.95" customHeight="1" thickBot="1" x14ac:dyDescent="0.3">
      <c r="B670" s="92"/>
      <c r="C670" s="95"/>
      <c r="D670" s="105"/>
      <c r="E670" s="96" t="s">
        <v>8</v>
      </c>
      <c r="F670" s="110" t="e">
        <f>Monthly!#REF!</f>
        <v>#REF!</v>
      </c>
      <c r="G670" s="91"/>
    </row>
    <row r="671" spans="2:7" ht="24.95" customHeight="1" thickTop="1" thickBot="1" x14ac:dyDescent="0.3">
      <c r="B671" s="92"/>
      <c r="C671" s="90"/>
      <c r="D671" s="101"/>
      <c r="E671" s="90"/>
      <c r="F671" s="101"/>
      <c r="G671" s="91"/>
    </row>
    <row r="672" spans="2:7" ht="24.95" customHeight="1" thickTop="1" thickBot="1" x14ac:dyDescent="0.3">
      <c r="B672" s="92"/>
      <c r="C672" s="86" t="s">
        <v>191</v>
      </c>
      <c r="D672" s="106" t="e">
        <f>SUM(D666:D670)</f>
        <v>#REF!</v>
      </c>
      <c r="E672" s="86" t="s">
        <v>192</v>
      </c>
      <c r="F672" s="106" t="e">
        <f>SUM(F666:F670)</f>
        <v>#REF!</v>
      </c>
      <c r="G672" s="91"/>
    </row>
    <row r="673" spans="2:7" ht="24.95" customHeight="1" thickTop="1" x14ac:dyDescent="0.25">
      <c r="B673" s="92"/>
      <c r="C673" s="90"/>
      <c r="D673" s="101"/>
      <c r="E673" s="90"/>
      <c r="F673" s="101"/>
      <c r="G673" s="91"/>
    </row>
    <row r="674" spans="2:7" ht="24.95" customHeight="1" thickBot="1" x14ac:dyDescent="0.3">
      <c r="B674" s="92"/>
      <c r="C674" s="90"/>
      <c r="D674" s="101"/>
      <c r="E674" s="90"/>
      <c r="F674" s="101"/>
      <c r="G674" s="91"/>
    </row>
    <row r="675" spans="2:7" ht="24.95" customHeight="1" thickTop="1" thickBot="1" x14ac:dyDescent="0.3">
      <c r="B675" s="92"/>
      <c r="C675" s="86" t="s">
        <v>193</v>
      </c>
      <c r="D675" s="106" t="e">
        <f>D672-F672</f>
        <v>#REF!</v>
      </c>
      <c r="E675" s="90"/>
      <c r="F675" s="101"/>
      <c r="G675" s="91"/>
    </row>
    <row r="676" spans="2:7" ht="24.95" customHeight="1" thickTop="1" thickBot="1" x14ac:dyDescent="0.3">
      <c r="B676" s="95"/>
      <c r="C676" s="213"/>
      <c r="D676" s="214"/>
      <c r="E676" s="98"/>
      <c r="F676" s="107"/>
      <c r="G676" s="97"/>
    </row>
    <row r="677" spans="2:7" ht="24.95" customHeight="1" thickTop="1" x14ac:dyDescent="0.25">
      <c r="B677" s="92"/>
      <c r="C677" s="200"/>
      <c r="D677" s="201"/>
      <c r="E677" s="90"/>
      <c r="F677" s="101"/>
      <c r="G677" s="91"/>
    </row>
    <row r="678" spans="2:7" ht="24.95" customHeight="1" x14ac:dyDescent="0.25">
      <c r="B678" s="92"/>
      <c r="C678" s="200"/>
      <c r="D678" s="201"/>
      <c r="E678" s="90"/>
      <c r="F678" s="101"/>
      <c r="G678" s="91"/>
    </row>
    <row r="679" spans="2:7" ht="24.95" customHeight="1" x14ac:dyDescent="0.25">
      <c r="B679" s="92"/>
      <c r="C679" s="200"/>
      <c r="D679" s="201"/>
      <c r="E679" s="90"/>
      <c r="F679" s="101"/>
      <c r="G679" s="91"/>
    </row>
    <row r="680" spans="2:7" ht="24.95" customHeight="1" thickBot="1" x14ac:dyDescent="0.3">
      <c r="B680" s="95"/>
      <c r="C680" s="98"/>
      <c r="D680" s="107"/>
      <c r="E680" s="98"/>
      <c r="F680" s="107"/>
      <c r="G680" s="97"/>
    </row>
    <row r="681" spans="2:7" ht="24.95" customHeight="1" thickTop="1" thickBot="1" x14ac:dyDescent="0.3">
      <c r="B681" s="86" t="s">
        <v>184</v>
      </c>
      <c r="C681" s="86" t="s">
        <v>185</v>
      </c>
      <c r="D681" s="100"/>
      <c r="E681" s="87"/>
      <c r="F681" s="100"/>
      <c r="G681" s="88"/>
    </row>
    <row r="682" spans="2:7" ht="24.95" customHeight="1" thickTop="1" thickBot="1" x14ac:dyDescent="0.3">
      <c r="B682" s="89" t="e">
        <f>Monthly!#REF!</f>
        <v>#REF!</v>
      </c>
      <c r="C682" s="89" t="str">
        <f>Monthly!$A$4</f>
        <v xml:space="preserve"> 30th April  2021</v>
      </c>
      <c r="D682" s="101"/>
      <c r="E682" s="90"/>
      <c r="F682" s="236" t="s">
        <v>219</v>
      </c>
      <c r="G682" s="91"/>
    </row>
    <row r="683" spans="2:7" ht="24.95" customHeight="1" thickTop="1" x14ac:dyDescent="0.25">
      <c r="B683" s="92"/>
      <c r="C683" s="90"/>
      <c r="D683" s="101"/>
      <c r="E683" s="90"/>
      <c r="F683" s="236" t="s">
        <v>222</v>
      </c>
      <c r="G683" s="91"/>
    </row>
    <row r="684" spans="2:7" ht="24.95" customHeight="1" x14ac:dyDescent="0.25">
      <c r="B684" s="92"/>
      <c r="C684" s="90"/>
      <c r="D684" s="101"/>
      <c r="E684" s="90"/>
      <c r="F684" s="236" t="s">
        <v>61</v>
      </c>
      <c r="G684" s="91"/>
    </row>
    <row r="685" spans="2:7" ht="24.95" customHeight="1" x14ac:dyDescent="0.25">
      <c r="B685" s="92"/>
      <c r="C685" s="90"/>
      <c r="D685" s="101"/>
      <c r="E685" s="90"/>
      <c r="F685" s="101"/>
      <c r="G685" s="91"/>
    </row>
    <row r="686" spans="2:7" ht="24.95" customHeight="1" x14ac:dyDescent="0.25">
      <c r="B686" s="92"/>
      <c r="C686" s="90"/>
      <c r="D686" s="101"/>
      <c r="E686" s="90"/>
      <c r="F686" s="101"/>
      <c r="G686" s="91"/>
    </row>
    <row r="687" spans="2:7" ht="24.95" customHeight="1" thickBot="1" x14ac:dyDescent="0.3">
      <c r="B687" s="92"/>
      <c r="C687" s="90"/>
      <c r="D687" s="101"/>
      <c r="E687" s="90"/>
      <c r="F687" s="101"/>
      <c r="G687" s="91"/>
    </row>
    <row r="688" spans="2:7" ht="24.95" customHeight="1" thickTop="1" thickBot="1" x14ac:dyDescent="0.3">
      <c r="B688" s="92"/>
      <c r="C688" s="93" t="s">
        <v>186</v>
      </c>
      <c r="D688" s="102"/>
      <c r="E688" s="86" t="s">
        <v>187</v>
      </c>
      <c r="F688" s="111"/>
      <c r="G688" s="91"/>
    </row>
    <row r="689" spans="2:7" ht="24.95" customHeight="1" thickTop="1" x14ac:dyDescent="0.25">
      <c r="B689" s="92"/>
      <c r="C689" s="92"/>
      <c r="D689" s="103"/>
      <c r="E689" s="94"/>
      <c r="F689" s="108"/>
      <c r="G689" s="91"/>
    </row>
    <row r="690" spans="2:7" ht="24.95" customHeight="1" x14ac:dyDescent="0.25">
      <c r="B690" s="92"/>
      <c r="C690" s="211" t="s">
        <v>215</v>
      </c>
      <c r="D690" s="104" t="e">
        <f>Monthly!#REF!</f>
        <v>#REF!</v>
      </c>
      <c r="E690" s="94" t="s">
        <v>10</v>
      </c>
      <c r="F690" s="109" t="e">
        <f>Monthly!#REF!</f>
        <v>#REF!</v>
      </c>
      <c r="G690" s="91"/>
    </row>
    <row r="691" spans="2:7" ht="24.95" customHeight="1" x14ac:dyDescent="0.25">
      <c r="B691" s="92"/>
      <c r="C691" s="211" t="s">
        <v>216</v>
      </c>
      <c r="D691" s="104" t="e">
        <f>Monthly!#REF!</f>
        <v>#REF!</v>
      </c>
      <c r="E691" s="94" t="s">
        <v>11</v>
      </c>
      <c r="F691" s="109" t="e">
        <f>Monthly!#REF!</f>
        <v>#REF!</v>
      </c>
      <c r="G691" s="91"/>
    </row>
    <row r="692" spans="2:7" ht="24.95" customHeight="1" x14ac:dyDescent="0.25">
      <c r="B692" s="92"/>
      <c r="C692" s="225" t="s">
        <v>153</v>
      </c>
      <c r="D692" s="104" t="e">
        <f>Monthly!#REF!</f>
        <v>#REF!</v>
      </c>
      <c r="E692" s="94" t="s">
        <v>189</v>
      </c>
      <c r="F692" s="109" t="e">
        <f>Monthly!#REF!</f>
        <v>#REF!</v>
      </c>
      <c r="G692" s="91"/>
    </row>
    <row r="693" spans="2:7" ht="24.95" customHeight="1" x14ac:dyDescent="0.25">
      <c r="B693" s="92"/>
      <c r="C693" s="92" t="s">
        <v>8</v>
      </c>
      <c r="D693" s="104" t="e">
        <f>#REF!</f>
        <v>#REF!</v>
      </c>
      <c r="E693" s="94" t="s">
        <v>190</v>
      </c>
      <c r="F693" s="109" t="e">
        <f>Monthly!#REF!</f>
        <v>#REF!</v>
      </c>
      <c r="G693" s="91"/>
    </row>
    <row r="694" spans="2:7" ht="24.95" customHeight="1" thickBot="1" x14ac:dyDescent="0.3">
      <c r="B694" s="92"/>
      <c r="C694" s="95"/>
      <c r="D694" s="105"/>
      <c r="E694" s="96" t="s">
        <v>8</v>
      </c>
      <c r="F694" s="110" t="e">
        <f>Monthly!#REF!</f>
        <v>#REF!</v>
      </c>
      <c r="G694" s="91"/>
    </row>
    <row r="695" spans="2:7" ht="24.95" customHeight="1" thickTop="1" thickBot="1" x14ac:dyDescent="0.3">
      <c r="B695" s="92"/>
      <c r="C695" s="90"/>
      <c r="D695" s="101"/>
      <c r="E695" s="90"/>
      <c r="F695" s="101"/>
      <c r="G695" s="91"/>
    </row>
    <row r="696" spans="2:7" ht="24.95" customHeight="1" thickTop="1" thickBot="1" x14ac:dyDescent="0.3">
      <c r="B696" s="92"/>
      <c r="C696" s="86" t="s">
        <v>191</v>
      </c>
      <c r="D696" s="106" t="e">
        <f>SUM(D690:D694)</f>
        <v>#REF!</v>
      </c>
      <c r="E696" s="86" t="s">
        <v>192</v>
      </c>
      <c r="F696" s="106" t="e">
        <f>SUM(F690:F694)</f>
        <v>#REF!</v>
      </c>
      <c r="G696" s="91"/>
    </row>
    <row r="697" spans="2:7" ht="24.95" customHeight="1" thickTop="1" x14ac:dyDescent="0.25">
      <c r="B697" s="92"/>
      <c r="C697" s="90"/>
      <c r="D697" s="101"/>
      <c r="E697" s="90"/>
      <c r="F697" s="101"/>
      <c r="G697" s="91"/>
    </row>
    <row r="698" spans="2:7" ht="24.95" customHeight="1" thickBot="1" x14ac:dyDescent="0.3">
      <c r="B698" s="92"/>
      <c r="C698" s="90"/>
      <c r="D698" s="101"/>
      <c r="E698" s="90"/>
      <c r="F698" s="101"/>
      <c r="G698" s="91"/>
    </row>
    <row r="699" spans="2:7" ht="24.95" customHeight="1" thickTop="1" thickBot="1" x14ac:dyDescent="0.3">
      <c r="B699" s="92"/>
      <c r="C699" s="86" t="s">
        <v>193</v>
      </c>
      <c r="D699" s="106" t="e">
        <f>D696-F696</f>
        <v>#REF!</v>
      </c>
      <c r="E699" s="90"/>
      <c r="F699" s="101"/>
      <c r="G699" s="91"/>
    </row>
    <row r="700" spans="2:7" ht="24.95" customHeight="1" thickTop="1" thickBot="1" x14ac:dyDescent="0.3">
      <c r="B700" s="95"/>
      <c r="C700" s="213"/>
      <c r="D700" s="214"/>
      <c r="E700" s="98"/>
      <c r="F700" s="107"/>
      <c r="G700" s="97"/>
    </row>
    <row r="701" spans="2:7" ht="24.95" customHeight="1" thickTop="1" x14ac:dyDescent="0.25">
      <c r="B701" s="92"/>
      <c r="C701" s="200"/>
      <c r="D701" s="201"/>
      <c r="E701" s="90"/>
      <c r="F701" s="101"/>
      <c r="G701" s="91"/>
    </row>
    <row r="702" spans="2:7" ht="24.95" customHeight="1" x14ac:dyDescent="0.25">
      <c r="B702" s="92"/>
      <c r="C702" s="200"/>
      <c r="D702" s="201"/>
      <c r="E702" s="90"/>
      <c r="F702" s="101"/>
      <c r="G702" s="91"/>
    </row>
    <row r="703" spans="2:7" ht="24.95" customHeight="1" x14ac:dyDescent="0.25">
      <c r="B703" s="92"/>
      <c r="C703" s="200"/>
      <c r="D703" s="201"/>
      <c r="E703" s="90"/>
      <c r="F703" s="101"/>
      <c r="G703" s="91"/>
    </row>
    <row r="704" spans="2:7" ht="24.95" customHeight="1" thickBot="1" x14ac:dyDescent="0.3">
      <c r="B704" s="95"/>
      <c r="C704" s="98"/>
      <c r="D704" s="107"/>
      <c r="E704" s="98"/>
      <c r="F704" s="107"/>
      <c r="G704" s="97"/>
    </row>
    <row r="705" spans="2:7" ht="24.95" customHeight="1" thickTop="1" thickBot="1" x14ac:dyDescent="0.3">
      <c r="B705" s="86" t="s">
        <v>184</v>
      </c>
      <c r="C705" s="86" t="s">
        <v>185</v>
      </c>
      <c r="D705" s="100"/>
      <c r="E705" s="87"/>
      <c r="F705" s="100"/>
      <c r="G705" s="88"/>
    </row>
    <row r="706" spans="2:7" ht="24.95" customHeight="1" thickTop="1" thickBot="1" x14ac:dyDescent="0.3">
      <c r="B706" s="89" t="e">
        <f>Monthly!#REF!</f>
        <v>#REF!</v>
      </c>
      <c r="C706" s="89" t="str">
        <f>Monthly!$A$4</f>
        <v xml:space="preserve"> 30th April  2021</v>
      </c>
      <c r="D706" s="101"/>
      <c r="E706" s="90"/>
      <c r="F706" s="236" t="s">
        <v>219</v>
      </c>
      <c r="G706" s="91"/>
    </row>
    <row r="707" spans="2:7" ht="24.95" customHeight="1" thickTop="1" x14ac:dyDescent="0.25">
      <c r="B707" s="92"/>
      <c r="C707" s="90"/>
      <c r="D707" s="101"/>
      <c r="E707" s="90"/>
      <c r="F707" s="236" t="s">
        <v>222</v>
      </c>
      <c r="G707" s="91"/>
    </row>
    <row r="708" spans="2:7" ht="24.95" customHeight="1" x14ac:dyDescent="0.25">
      <c r="B708" s="92"/>
      <c r="C708" s="90"/>
      <c r="D708" s="101"/>
      <c r="E708" s="90"/>
      <c r="F708" s="236" t="s">
        <v>61</v>
      </c>
      <c r="G708" s="91"/>
    </row>
    <row r="709" spans="2:7" ht="24.95" customHeight="1" x14ac:dyDescent="0.25">
      <c r="B709" s="92"/>
      <c r="C709" s="90"/>
      <c r="D709" s="101"/>
      <c r="E709" s="90"/>
      <c r="F709" s="101"/>
      <c r="G709" s="91"/>
    </row>
    <row r="710" spans="2:7" ht="24.95" customHeight="1" x14ac:dyDescent="0.25">
      <c r="B710" s="92"/>
      <c r="C710" s="90"/>
      <c r="D710" s="101"/>
      <c r="E710" s="90"/>
      <c r="F710" s="101"/>
      <c r="G710" s="91"/>
    </row>
    <row r="711" spans="2:7" ht="24.95" customHeight="1" thickBot="1" x14ac:dyDescent="0.3">
      <c r="B711" s="92"/>
      <c r="C711" s="90"/>
      <c r="D711" s="101"/>
      <c r="E711" s="90"/>
      <c r="F711" s="101"/>
      <c r="G711" s="91"/>
    </row>
    <row r="712" spans="2:7" ht="24.95" customHeight="1" thickTop="1" thickBot="1" x14ac:dyDescent="0.3">
      <c r="B712" s="92"/>
      <c r="C712" s="93" t="s">
        <v>186</v>
      </c>
      <c r="D712" s="102"/>
      <c r="E712" s="86" t="s">
        <v>187</v>
      </c>
      <c r="F712" s="111"/>
      <c r="G712" s="91"/>
    </row>
    <row r="713" spans="2:7" ht="24.95" customHeight="1" thickTop="1" x14ac:dyDescent="0.25">
      <c r="B713" s="92"/>
      <c r="C713" s="92"/>
      <c r="D713" s="103"/>
      <c r="E713" s="94"/>
      <c r="F713" s="108"/>
      <c r="G713" s="91"/>
    </row>
    <row r="714" spans="2:7" ht="24.95" customHeight="1" x14ac:dyDescent="0.25">
      <c r="B714" s="92"/>
      <c r="C714" s="211" t="s">
        <v>215</v>
      </c>
      <c r="D714" s="104" t="e">
        <f>Monthly!#REF!</f>
        <v>#REF!</v>
      </c>
      <c r="E714" s="94" t="s">
        <v>10</v>
      </c>
      <c r="F714" s="109" t="e">
        <f>Monthly!#REF!</f>
        <v>#REF!</v>
      </c>
      <c r="G714" s="91"/>
    </row>
    <row r="715" spans="2:7" ht="24.95" customHeight="1" x14ac:dyDescent="0.25">
      <c r="B715" s="92"/>
      <c r="C715" s="211" t="s">
        <v>216</v>
      </c>
      <c r="D715" s="104" t="e">
        <f>Monthly!#REF!</f>
        <v>#REF!</v>
      </c>
      <c r="E715" s="94" t="s">
        <v>11</v>
      </c>
      <c r="F715" s="109" t="e">
        <f>Monthly!#REF!</f>
        <v>#REF!</v>
      </c>
      <c r="G715" s="91"/>
    </row>
    <row r="716" spans="2:7" ht="24.95" customHeight="1" x14ac:dyDescent="0.25">
      <c r="B716" s="92"/>
      <c r="C716" s="225" t="s">
        <v>153</v>
      </c>
      <c r="D716" s="104" t="e">
        <f>Monthly!#REF!</f>
        <v>#REF!</v>
      </c>
      <c r="E716" s="94" t="s">
        <v>189</v>
      </c>
      <c r="F716" s="109" t="e">
        <f>Monthly!#REF!</f>
        <v>#REF!</v>
      </c>
      <c r="G716" s="91"/>
    </row>
    <row r="717" spans="2:7" ht="24.95" customHeight="1" x14ac:dyDescent="0.25">
      <c r="B717" s="92"/>
      <c r="C717" s="92" t="s">
        <v>8</v>
      </c>
      <c r="D717" s="104" t="e">
        <f>#REF!</f>
        <v>#REF!</v>
      </c>
      <c r="E717" s="94" t="s">
        <v>190</v>
      </c>
      <c r="F717" s="109" t="e">
        <f>Monthly!#REF!</f>
        <v>#REF!</v>
      </c>
      <c r="G717" s="91"/>
    </row>
    <row r="718" spans="2:7" ht="24.95" customHeight="1" thickBot="1" x14ac:dyDescent="0.3">
      <c r="B718" s="92"/>
      <c r="C718" s="95"/>
      <c r="D718" s="105"/>
      <c r="E718" s="96" t="s">
        <v>8</v>
      </c>
      <c r="F718" s="110" t="e">
        <f>Monthly!#REF!</f>
        <v>#REF!</v>
      </c>
      <c r="G718" s="91"/>
    </row>
    <row r="719" spans="2:7" ht="24.95" customHeight="1" thickTop="1" thickBot="1" x14ac:dyDescent="0.3">
      <c r="B719" s="92"/>
      <c r="C719" s="90"/>
      <c r="D719" s="101"/>
      <c r="E719" s="90"/>
      <c r="F719" s="101"/>
      <c r="G719" s="91"/>
    </row>
    <row r="720" spans="2:7" ht="24.95" customHeight="1" thickTop="1" thickBot="1" x14ac:dyDescent="0.3">
      <c r="B720" s="92"/>
      <c r="C720" s="86" t="s">
        <v>191</v>
      </c>
      <c r="D720" s="106" t="e">
        <f>SUM(D714:D718)</f>
        <v>#REF!</v>
      </c>
      <c r="E720" s="86" t="s">
        <v>192</v>
      </c>
      <c r="F720" s="106" t="e">
        <f>SUM(F714:F718)</f>
        <v>#REF!</v>
      </c>
      <c r="G720" s="91"/>
    </row>
    <row r="721" spans="2:7" ht="24.95" customHeight="1" thickTop="1" x14ac:dyDescent="0.25">
      <c r="B721" s="92"/>
      <c r="C721" s="90"/>
      <c r="D721" s="101"/>
      <c r="E721" s="90"/>
      <c r="F721" s="101"/>
      <c r="G721" s="91"/>
    </row>
    <row r="722" spans="2:7" ht="24.95" customHeight="1" thickBot="1" x14ac:dyDescent="0.3">
      <c r="B722" s="92"/>
      <c r="C722" s="90"/>
      <c r="D722" s="101"/>
      <c r="E722" s="90"/>
      <c r="F722" s="101"/>
      <c r="G722" s="91"/>
    </row>
    <row r="723" spans="2:7" ht="24.95" customHeight="1" thickTop="1" thickBot="1" x14ac:dyDescent="0.3">
      <c r="B723" s="92"/>
      <c r="C723" s="86" t="s">
        <v>193</v>
      </c>
      <c r="D723" s="106" t="e">
        <f>D720-F720</f>
        <v>#REF!</v>
      </c>
      <c r="E723" s="90"/>
      <c r="F723" s="101"/>
      <c r="G723" s="91"/>
    </row>
    <row r="724" spans="2:7" ht="24.95" customHeight="1" thickTop="1" thickBot="1" x14ac:dyDescent="0.3">
      <c r="B724" s="95"/>
      <c r="C724" s="213"/>
      <c r="D724" s="214"/>
      <c r="E724" s="98"/>
      <c r="F724" s="107"/>
      <c r="G724" s="97"/>
    </row>
    <row r="725" spans="2:7" ht="24.95" customHeight="1" thickTop="1" x14ac:dyDescent="0.25">
      <c r="B725" s="92"/>
      <c r="C725" s="200"/>
      <c r="D725" s="201"/>
      <c r="E725" s="90"/>
      <c r="F725" s="101"/>
      <c r="G725" s="91"/>
    </row>
    <row r="726" spans="2:7" ht="24.95" customHeight="1" x14ac:dyDescent="0.25">
      <c r="B726" s="92"/>
      <c r="C726" s="200"/>
      <c r="D726" s="201"/>
      <c r="E726" s="90"/>
      <c r="F726" s="101"/>
      <c r="G726" s="91"/>
    </row>
    <row r="727" spans="2:7" ht="24.95" customHeight="1" x14ac:dyDescent="0.25">
      <c r="B727" s="92"/>
      <c r="C727" s="200"/>
      <c r="D727" s="201"/>
      <c r="E727" s="90"/>
      <c r="F727" s="101"/>
      <c r="G727" s="91"/>
    </row>
    <row r="728" spans="2:7" ht="24.95" customHeight="1" thickBot="1" x14ac:dyDescent="0.3">
      <c r="B728" s="95"/>
      <c r="C728" s="98"/>
      <c r="D728" s="107"/>
      <c r="E728" s="98"/>
      <c r="F728" s="107"/>
      <c r="G728" s="97"/>
    </row>
    <row r="729" spans="2:7" ht="24.95" customHeight="1" thickTop="1" thickBot="1" x14ac:dyDescent="0.3">
      <c r="B729" s="86" t="s">
        <v>184</v>
      </c>
      <c r="C729" s="86" t="s">
        <v>185</v>
      </c>
      <c r="D729" s="100"/>
      <c r="E729" s="87"/>
      <c r="F729" s="100"/>
      <c r="G729" s="88"/>
    </row>
    <row r="730" spans="2:7" ht="24.95" customHeight="1" thickTop="1" thickBot="1" x14ac:dyDescent="0.3">
      <c r="B730" s="89" t="e">
        <f>Monthly!#REF!</f>
        <v>#REF!</v>
      </c>
      <c r="C730" s="89" t="str">
        <f>Monthly!$A$4</f>
        <v xml:space="preserve"> 30th April  2021</v>
      </c>
      <c r="D730" s="101"/>
      <c r="E730" s="90"/>
      <c r="F730" s="236" t="s">
        <v>219</v>
      </c>
      <c r="G730" s="91"/>
    </row>
    <row r="731" spans="2:7" ht="24.95" customHeight="1" thickTop="1" x14ac:dyDescent="0.25">
      <c r="B731" s="92"/>
      <c r="C731" s="90"/>
      <c r="D731" s="101"/>
      <c r="E731" s="90"/>
      <c r="F731" s="236" t="s">
        <v>222</v>
      </c>
      <c r="G731" s="91"/>
    </row>
    <row r="732" spans="2:7" ht="24.95" customHeight="1" x14ac:dyDescent="0.25">
      <c r="B732" s="92"/>
      <c r="C732" s="90"/>
      <c r="D732" s="101"/>
      <c r="E732" s="90"/>
      <c r="F732" s="236" t="s">
        <v>61</v>
      </c>
      <c r="G732" s="91"/>
    </row>
    <row r="733" spans="2:7" ht="24.95" customHeight="1" x14ac:dyDescent="0.25">
      <c r="B733" s="92"/>
      <c r="C733" s="90"/>
      <c r="D733" s="101"/>
      <c r="E733" s="90"/>
      <c r="F733" s="101"/>
      <c r="G733" s="91"/>
    </row>
    <row r="734" spans="2:7" ht="24.95" customHeight="1" x14ac:dyDescent="0.25">
      <c r="B734" s="92"/>
      <c r="C734" s="90"/>
      <c r="D734" s="101"/>
      <c r="E734" s="90"/>
      <c r="F734" s="101"/>
      <c r="G734" s="91"/>
    </row>
    <row r="735" spans="2:7" ht="24.95" customHeight="1" thickBot="1" x14ac:dyDescent="0.3">
      <c r="B735" s="92"/>
      <c r="C735" s="90"/>
      <c r="D735" s="101"/>
      <c r="E735" s="90"/>
      <c r="F735" s="101"/>
      <c r="G735" s="91"/>
    </row>
    <row r="736" spans="2:7" ht="24.95" customHeight="1" thickTop="1" thickBot="1" x14ac:dyDescent="0.3">
      <c r="B736" s="92"/>
      <c r="C736" s="93" t="s">
        <v>186</v>
      </c>
      <c r="D736" s="102"/>
      <c r="E736" s="86" t="s">
        <v>187</v>
      </c>
      <c r="F736" s="111"/>
      <c r="G736" s="91"/>
    </row>
    <row r="737" spans="2:7" ht="24.95" customHeight="1" thickTop="1" x14ac:dyDescent="0.25">
      <c r="B737" s="92"/>
      <c r="C737" s="92"/>
      <c r="D737" s="103"/>
      <c r="E737" s="94"/>
      <c r="F737" s="108"/>
      <c r="G737" s="91"/>
    </row>
    <row r="738" spans="2:7" ht="24.95" customHeight="1" x14ac:dyDescent="0.25">
      <c r="B738" s="92"/>
      <c r="C738" s="211" t="s">
        <v>215</v>
      </c>
      <c r="D738" s="104">
        <f>Monthly!G19</f>
        <v>1500</v>
      </c>
      <c r="E738" s="94" t="s">
        <v>10</v>
      </c>
      <c r="F738" s="109">
        <f>Monthly!L19</f>
        <v>0</v>
      </c>
      <c r="G738" s="91"/>
    </row>
    <row r="739" spans="2:7" ht="24.95" customHeight="1" x14ac:dyDescent="0.25">
      <c r="B739" s="92"/>
      <c r="C739" s="211" t="s">
        <v>216</v>
      </c>
      <c r="D739" s="104">
        <f>Monthly!I19</f>
        <v>0</v>
      </c>
      <c r="E739" s="94" t="s">
        <v>11</v>
      </c>
      <c r="F739" s="109">
        <f>Monthly!M19</f>
        <v>75</v>
      </c>
      <c r="G739" s="91"/>
    </row>
    <row r="740" spans="2:7" ht="24.95" customHeight="1" x14ac:dyDescent="0.25">
      <c r="B740" s="92"/>
      <c r="C740" s="211" t="s">
        <v>217</v>
      </c>
      <c r="D740" s="104"/>
      <c r="E740" s="94" t="s">
        <v>189</v>
      </c>
      <c r="F740" s="109">
        <f>Monthly!N19</f>
        <v>0</v>
      </c>
      <c r="G740" s="91"/>
    </row>
    <row r="741" spans="2:7" ht="24.95" customHeight="1" x14ac:dyDescent="0.25">
      <c r="B741" s="92"/>
      <c r="C741" s="92" t="s">
        <v>8</v>
      </c>
      <c r="D741" s="104" t="e">
        <f>#REF!</f>
        <v>#REF!</v>
      </c>
      <c r="E741" s="94" t="s">
        <v>190</v>
      </c>
      <c r="F741" s="109" t="e">
        <f>Monthly!#REF!</f>
        <v>#REF!</v>
      </c>
      <c r="G741" s="91"/>
    </row>
    <row r="742" spans="2:7" ht="24.95" customHeight="1" thickBot="1" x14ac:dyDescent="0.3">
      <c r="B742" s="92"/>
      <c r="C742" s="95"/>
      <c r="D742" s="105"/>
      <c r="E742" s="96" t="s">
        <v>8</v>
      </c>
      <c r="F742" s="110">
        <f>Monthly!O19</f>
        <v>0</v>
      </c>
      <c r="G742" s="91"/>
    </row>
    <row r="743" spans="2:7" ht="24.95" customHeight="1" thickTop="1" thickBot="1" x14ac:dyDescent="0.3">
      <c r="B743" s="92"/>
      <c r="C743" s="90"/>
      <c r="D743" s="101"/>
      <c r="E743" s="90"/>
      <c r="F743" s="101"/>
      <c r="G743" s="91"/>
    </row>
    <row r="744" spans="2:7" ht="24.95" customHeight="1" thickTop="1" thickBot="1" x14ac:dyDescent="0.3">
      <c r="B744" s="92"/>
      <c r="C744" s="86" t="s">
        <v>191</v>
      </c>
      <c r="D744" s="106" t="e">
        <f>SUM(D738:D742)</f>
        <v>#REF!</v>
      </c>
      <c r="E744" s="86" t="s">
        <v>192</v>
      </c>
      <c r="F744" s="106" t="e">
        <f>SUM(F738:F742)</f>
        <v>#REF!</v>
      </c>
      <c r="G744" s="91"/>
    </row>
    <row r="745" spans="2:7" ht="24.95" customHeight="1" thickTop="1" x14ac:dyDescent="0.25">
      <c r="B745" s="92"/>
      <c r="C745" s="90"/>
      <c r="D745" s="101"/>
      <c r="E745" s="90"/>
      <c r="F745" s="101"/>
      <c r="G745" s="91"/>
    </row>
    <row r="746" spans="2:7" ht="24.95" customHeight="1" thickBot="1" x14ac:dyDescent="0.3">
      <c r="B746" s="92"/>
      <c r="C746" s="90"/>
      <c r="D746" s="101"/>
      <c r="E746" s="90"/>
      <c r="F746" s="101"/>
      <c r="G746" s="91"/>
    </row>
    <row r="747" spans="2:7" ht="24.95" customHeight="1" thickTop="1" thickBot="1" x14ac:dyDescent="0.3">
      <c r="B747" s="92"/>
      <c r="C747" s="86" t="s">
        <v>193</v>
      </c>
      <c r="D747" s="106" t="e">
        <f>D744-F744</f>
        <v>#REF!</v>
      </c>
      <c r="E747" s="90"/>
      <c r="F747" s="101"/>
      <c r="G747" s="91"/>
    </row>
    <row r="748" spans="2:7" ht="24.95" customHeight="1" thickTop="1" thickBot="1" x14ac:dyDescent="0.3">
      <c r="B748" s="95"/>
      <c r="C748" s="213"/>
      <c r="D748" s="214"/>
      <c r="E748" s="98"/>
      <c r="F748" s="107"/>
      <c r="G748" s="97"/>
    </row>
    <row r="749" spans="2:7" ht="24.95" customHeight="1" thickTop="1" x14ac:dyDescent="0.25">
      <c r="B749" s="92"/>
      <c r="C749" s="215"/>
      <c r="D749" s="216"/>
      <c r="E749" s="90"/>
      <c r="F749" s="101"/>
      <c r="G749" s="91"/>
    </row>
    <row r="750" spans="2:7" ht="24.95" customHeight="1" x14ac:dyDescent="0.25">
      <c r="B750" s="92"/>
      <c r="C750" s="200"/>
      <c r="D750" s="201"/>
      <c r="E750" s="90"/>
      <c r="F750" s="101"/>
      <c r="G750" s="91"/>
    </row>
    <row r="751" spans="2:7" ht="24.95" customHeight="1" x14ac:dyDescent="0.25">
      <c r="B751" s="92"/>
      <c r="C751" s="200"/>
      <c r="D751" s="201"/>
      <c r="E751" s="90"/>
      <c r="F751" s="101"/>
      <c r="G751" s="91"/>
    </row>
    <row r="752" spans="2:7" ht="24.95" customHeight="1" x14ac:dyDescent="0.25">
      <c r="B752" s="92"/>
      <c r="C752" s="200"/>
      <c r="D752" s="201"/>
      <c r="E752" s="90"/>
      <c r="F752" s="101"/>
      <c r="G752" s="91"/>
    </row>
    <row r="753" spans="2:7" ht="24.95" customHeight="1" thickBot="1" x14ac:dyDescent="0.3">
      <c r="B753" s="95"/>
      <c r="C753" s="98"/>
      <c r="D753" s="107"/>
      <c r="E753" s="98"/>
      <c r="F753" s="107"/>
      <c r="G753" s="97"/>
    </row>
    <row r="754" spans="2:7" ht="24.95" customHeight="1" thickTop="1" thickBot="1" x14ac:dyDescent="0.3">
      <c r="B754" s="86" t="s">
        <v>184</v>
      </c>
      <c r="C754" s="86" t="s">
        <v>185</v>
      </c>
      <c r="D754" s="100"/>
      <c r="E754" s="87"/>
      <c r="F754" s="100"/>
      <c r="G754" s="88"/>
    </row>
    <row r="755" spans="2:7" ht="24.95" customHeight="1" thickTop="1" thickBot="1" x14ac:dyDescent="0.3">
      <c r="B755" s="89" t="e">
        <f>Monthly!#REF!</f>
        <v>#REF!</v>
      </c>
      <c r="C755" s="89" t="str">
        <f>Monthly!$A$4</f>
        <v xml:space="preserve"> 30th April  2021</v>
      </c>
      <c r="D755" s="101"/>
      <c r="E755" s="90"/>
      <c r="F755" s="236" t="s">
        <v>219</v>
      </c>
      <c r="G755" s="91"/>
    </row>
    <row r="756" spans="2:7" ht="24.95" customHeight="1" thickTop="1" x14ac:dyDescent="0.25">
      <c r="B756" s="92"/>
      <c r="C756" s="90"/>
      <c r="D756" s="101"/>
      <c r="E756" s="90"/>
      <c r="F756" s="236" t="s">
        <v>222</v>
      </c>
      <c r="G756" s="91"/>
    </row>
    <row r="757" spans="2:7" ht="24.95" customHeight="1" x14ac:dyDescent="0.25">
      <c r="B757" s="92"/>
      <c r="C757" s="90"/>
      <c r="D757" s="101"/>
      <c r="E757" s="90"/>
      <c r="F757" s="236" t="s">
        <v>61</v>
      </c>
      <c r="G757" s="91"/>
    </row>
    <row r="758" spans="2:7" ht="24.95" customHeight="1" x14ac:dyDescent="0.25">
      <c r="B758" s="92"/>
      <c r="C758" s="90"/>
      <c r="D758" s="101"/>
      <c r="E758" s="90"/>
      <c r="F758" s="101"/>
      <c r="G758" s="91"/>
    </row>
    <row r="759" spans="2:7" ht="24.95" customHeight="1" x14ac:dyDescent="0.25">
      <c r="B759" s="92"/>
      <c r="C759" s="90"/>
      <c r="D759" s="101"/>
      <c r="E759" s="90"/>
      <c r="F759" s="101"/>
      <c r="G759" s="91"/>
    </row>
    <row r="760" spans="2:7" ht="24.95" customHeight="1" thickBot="1" x14ac:dyDescent="0.3">
      <c r="B760" s="92"/>
      <c r="C760" s="90"/>
      <c r="D760" s="101"/>
      <c r="E760" s="90"/>
      <c r="F760" s="101"/>
      <c r="G760" s="91"/>
    </row>
    <row r="761" spans="2:7" ht="24.95" customHeight="1" thickTop="1" thickBot="1" x14ac:dyDescent="0.3">
      <c r="B761" s="92"/>
      <c r="C761" s="93" t="s">
        <v>186</v>
      </c>
      <c r="D761" s="102"/>
      <c r="E761" s="86" t="s">
        <v>187</v>
      </c>
      <c r="F761" s="111"/>
      <c r="G761" s="91"/>
    </row>
    <row r="762" spans="2:7" ht="24.95" customHeight="1" thickTop="1" x14ac:dyDescent="0.25">
      <c r="B762" s="92"/>
      <c r="C762" s="92"/>
      <c r="D762" s="103"/>
      <c r="E762" s="94"/>
      <c r="F762" s="108"/>
      <c r="G762" s="91"/>
    </row>
    <row r="763" spans="2:7" ht="24.95" customHeight="1" x14ac:dyDescent="0.25">
      <c r="B763" s="92"/>
      <c r="C763" s="211" t="s">
        <v>215</v>
      </c>
      <c r="D763" s="104" t="e">
        <f>Monthly!#REF!</f>
        <v>#REF!</v>
      </c>
      <c r="E763" s="94" t="s">
        <v>10</v>
      </c>
      <c r="F763" s="109" t="e">
        <f>Monthly!#REF!</f>
        <v>#REF!</v>
      </c>
      <c r="G763" s="91"/>
    </row>
    <row r="764" spans="2:7" ht="24.95" customHeight="1" x14ac:dyDescent="0.25">
      <c r="B764" s="92"/>
      <c r="C764" s="211" t="s">
        <v>216</v>
      </c>
      <c r="D764" s="104" t="e">
        <f>Monthly!#REF!</f>
        <v>#REF!</v>
      </c>
      <c r="E764" s="94" t="s">
        <v>11</v>
      </c>
      <c r="F764" s="109" t="e">
        <f>Monthly!#REF!</f>
        <v>#REF!</v>
      </c>
      <c r="G764" s="91"/>
    </row>
    <row r="765" spans="2:7" ht="24.95" customHeight="1" x14ac:dyDescent="0.25">
      <c r="B765" s="92"/>
      <c r="C765" s="225" t="s">
        <v>153</v>
      </c>
      <c r="D765" s="104" t="e">
        <f>Monthly!#REF!</f>
        <v>#REF!</v>
      </c>
      <c r="E765" s="94" t="s">
        <v>189</v>
      </c>
      <c r="F765" s="109" t="e">
        <f>Monthly!#REF!</f>
        <v>#REF!</v>
      </c>
      <c r="G765" s="91"/>
    </row>
    <row r="766" spans="2:7" ht="24.95" customHeight="1" x14ac:dyDescent="0.25">
      <c r="B766" s="92"/>
      <c r="C766" s="92" t="s">
        <v>8</v>
      </c>
      <c r="D766" s="104" t="e">
        <f>#REF!</f>
        <v>#REF!</v>
      </c>
      <c r="E766" s="94" t="s">
        <v>190</v>
      </c>
      <c r="F766" s="109" t="e">
        <f>Monthly!#REF!</f>
        <v>#REF!</v>
      </c>
      <c r="G766" s="91"/>
    </row>
    <row r="767" spans="2:7" ht="24.95" customHeight="1" thickBot="1" x14ac:dyDescent="0.3">
      <c r="B767" s="92"/>
      <c r="C767" s="95"/>
      <c r="D767" s="105"/>
      <c r="E767" s="96" t="s">
        <v>8</v>
      </c>
      <c r="F767" s="110" t="e">
        <f>Monthly!#REF!</f>
        <v>#REF!</v>
      </c>
      <c r="G767" s="91"/>
    </row>
    <row r="768" spans="2:7" ht="24.95" customHeight="1" thickTop="1" thickBot="1" x14ac:dyDescent="0.3">
      <c r="B768" s="92"/>
      <c r="C768" s="90"/>
      <c r="D768" s="101"/>
      <c r="E768" s="90"/>
      <c r="F768" s="101"/>
      <c r="G768" s="91"/>
    </row>
    <row r="769" spans="2:7" ht="24.95" customHeight="1" thickTop="1" thickBot="1" x14ac:dyDescent="0.3">
      <c r="B769" s="92"/>
      <c r="C769" s="86" t="s">
        <v>191</v>
      </c>
      <c r="D769" s="106" t="e">
        <f>SUM(D763:D767)</f>
        <v>#REF!</v>
      </c>
      <c r="E769" s="86" t="s">
        <v>192</v>
      </c>
      <c r="F769" s="106" t="e">
        <f>SUM(F763:F767)</f>
        <v>#REF!</v>
      </c>
      <c r="G769" s="91"/>
    </row>
    <row r="770" spans="2:7" ht="24.95" customHeight="1" thickTop="1" x14ac:dyDescent="0.25">
      <c r="B770" s="92"/>
      <c r="C770" s="90"/>
      <c r="D770" s="101"/>
      <c r="E770" s="90"/>
      <c r="F770" s="101"/>
      <c r="G770" s="91"/>
    </row>
    <row r="771" spans="2:7" ht="24.95" customHeight="1" thickBot="1" x14ac:dyDescent="0.3">
      <c r="B771" s="92"/>
      <c r="C771" s="90"/>
      <c r="D771" s="101"/>
      <c r="E771" s="90"/>
      <c r="F771" s="101"/>
      <c r="G771" s="91"/>
    </row>
    <row r="772" spans="2:7" ht="24.95" customHeight="1" thickTop="1" thickBot="1" x14ac:dyDescent="0.3">
      <c r="B772" s="92"/>
      <c r="C772" s="86" t="s">
        <v>193</v>
      </c>
      <c r="D772" s="106" t="e">
        <f>D769-F769</f>
        <v>#REF!</v>
      </c>
      <c r="E772" s="90"/>
      <c r="F772" s="101"/>
      <c r="G772" s="91"/>
    </row>
    <row r="773" spans="2:7" ht="24.95" customHeight="1" thickTop="1" thickBot="1" x14ac:dyDescent="0.3">
      <c r="B773" s="95"/>
      <c r="C773" s="213"/>
      <c r="D773" s="214"/>
      <c r="E773" s="98"/>
      <c r="F773" s="107"/>
      <c r="G773" s="97"/>
    </row>
    <row r="774" spans="2:7" ht="24.95" customHeight="1" thickTop="1" x14ac:dyDescent="0.25">
      <c r="B774" s="92"/>
      <c r="C774" s="200"/>
      <c r="D774" s="201"/>
      <c r="E774" s="90"/>
      <c r="F774" s="101"/>
      <c r="G774" s="91"/>
    </row>
    <row r="775" spans="2:7" ht="24.95" customHeight="1" x14ac:dyDescent="0.25">
      <c r="B775" s="92"/>
      <c r="C775" s="200"/>
      <c r="D775" s="201"/>
      <c r="E775" s="90"/>
      <c r="F775" s="101"/>
      <c r="G775" s="91"/>
    </row>
    <row r="776" spans="2:7" ht="24.95" customHeight="1" x14ac:dyDescent="0.25">
      <c r="B776" s="92"/>
      <c r="C776" s="200"/>
      <c r="D776" s="201"/>
      <c r="E776" s="90"/>
      <c r="F776" s="101"/>
      <c r="G776" s="91"/>
    </row>
    <row r="777" spans="2:7" ht="24.95" customHeight="1" thickBot="1" x14ac:dyDescent="0.3">
      <c r="B777" s="95"/>
      <c r="C777" s="98"/>
      <c r="D777" s="107"/>
      <c r="E777" s="98"/>
      <c r="F777" s="107"/>
      <c r="G777" s="97"/>
    </row>
    <row r="778" spans="2:7" ht="24.95" customHeight="1" thickTop="1" thickBot="1" x14ac:dyDescent="0.3">
      <c r="B778" s="86" t="s">
        <v>184</v>
      </c>
      <c r="C778" s="86" t="s">
        <v>185</v>
      </c>
      <c r="D778" s="100"/>
      <c r="E778" s="87"/>
      <c r="F778" s="100"/>
      <c r="G778" s="88"/>
    </row>
    <row r="779" spans="2:7" ht="24.95" customHeight="1" thickTop="1" thickBot="1" x14ac:dyDescent="0.3">
      <c r="B779" s="89" t="e">
        <f>Monthly!#REF!</f>
        <v>#REF!</v>
      </c>
      <c r="C779" s="89" t="str">
        <f>Monthly!$A$4</f>
        <v xml:space="preserve"> 30th April  2021</v>
      </c>
      <c r="D779" s="101"/>
      <c r="E779" s="90"/>
      <c r="F779" s="236" t="s">
        <v>219</v>
      </c>
      <c r="G779" s="91"/>
    </row>
    <row r="780" spans="2:7" ht="24.95" customHeight="1" thickTop="1" x14ac:dyDescent="0.25">
      <c r="B780" s="92"/>
      <c r="C780" s="90"/>
      <c r="D780" s="101"/>
      <c r="E780" s="90"/>
      <c r="F780" s="236" t="s">
        <v>222</v>
      </c>
      <c r="G780" s="91"/>
    </row>
    <row r="781" spans="2:7" ht="24.95" customHeight="1" x14ac:dyDescent="0.25">
      <c r="B781" s="92"/>
      <c r="C781" s="90"/>
      <c r="D781" s="101"/>
      <c r="E781" s="90"/>
      <c r="F781" s="236" t="s">
        <v>61</v>
      </c>
      <c r="G781" s="91"/>
    </row>
    <row r="782" spans="2:7" ht="24.95" customHeight="1" x14ac:dyDescent="0.25">
      <c r="B782" s="92"/>
      <c r="C782" s="90"/>
      <c r="D782" s="101"/>
      <c r="E782" s="90"/>
      <c r="F782" s="101"/>
      <c r="G782" s="91"/>
    </row>
    <row r="783" spans="2:7" ht="24.95" customHeight="1" x14ac:dyDescent="0.25">
      <c r="B783" s="92"/>
      <c r="C783" s="90"/>
      <c r="D783" s="101"/>
      <c r="E783" s="90"/>
      <c r="F783" s="101"/>
      <c r="G783" s="91"/>
    </row>
    <row r="784" spans="2:7" ht="24.95" customHeight="1" thickBot="1" x14ac:dyDescent="0.3">
      <c r="B784" s="92"/>
      <c r="C784" s="90"/>
      <c r="D784" s="101"/>
      <c r="E784" s="90"/>
      <c r="F784" s="101"/>
      <c r="G784" s="91"/>
    </row>
    <row r="785" spans="2:7" ht="24.95" customHeight="1" thickTop="1" thickBot="1" x14ac:dyDescent="0.3">
      <c r="B785" s="92"/>
      <c r="C785" s="93" t="s">
        <v>186</v>
      </c>
      <c r="D785" s="102"/>
      <c r="E785" s="86" t="s">
        <v>187</v>
      </c>
      <c r="F785" s="111"/>
      <c r="G785" s="91"/>
    </row>
    <row r="786" spans="2:7" ht="24.95" customHeight="1" thickTop="1" x14ac:dyDescent="0.25">
      <c r="B786" s="92"/>
      <c r="C786" s="92"/>
      <c r="D786" s="103"/>
      <c r="E786" s="94"/>
      <c r="F786" s="108"/>
      <c r="G786" s="91"/>
    </row>
    <row r="787" spans="2:7" ht="24.95" customHeight="1" x14ac:dyDescent="0.25">
      <c r="B787" s="92"/>
      <c r="C787" s="211" t="s">
        <v>215</v>
      </c>
      <c r="D787" s="104" t="e">
        <f>Monthly!#REF!</f>
        <v>#REF!</v>
      </c>
      <c r="E787" s="94" t="s">
        <v>10</v>
      </c>
      <c r="F787" s="109" t="e">
        <f>Monthly!#REF!</f>
        <v>#REF!</v>
      </c>
      <c r="G787" s="91"/>
    </row>
    <row r="788" spans="2:7" ht="24.95" customHeight="1" x14ac:dyDescent="0.25">
      <c r="B788" s="92"/>
      <c r="C788" s="211" t="s">
        <v>216</v>
      </c>
      <c r="D788" s="104" t="e">
        <f>Monthly!#REF!</f>
        <v>#REF!</v>
      </c>
      <c r="E788" s="94" t="s">
        <v>11</v>
      </c>
      <c r="F788" s="109" t="e">
        <f>Monthly!#REF!</f>
        <v>#REF!</v>
      </c>
      <c r="G788" s="91"/>
    </row>
    <row r="789" spans="2:7" ht="24.95" customHeight="1" x14ac:dyDescent="0.25">
      <c r="B789" s="92"/>
      <c r="C789" s="225" t="s">
        <v>153</v>
      </c>
      <c r="D789" s="104" t="e">
        <f>Monthly!#REF!</f>
        <v>#REF!</v>
      </c>
      <c r="E789" s="94" t="s">
        <v>189</v>
      </c>
      <c r="F789" s="109" t="e">
        <f>Monthly!#REF!</f>
        <v>#REF!</v>
      </c>
      <c r="G789" s="91"/>
    </row>
    <row r="790" spans="2:7" ht="24.95" customHeight="1" x14ac:dyDescent="0.25">
      <c r="B790" s="92"/>
      <c r="C790" s="92" t="s">
        <v>8</v>
      </c>
      <c r="D790" s="104" t="e">
        <f>#REF!</f>
        <v>#REF!</v>
      </c>
      <c r="E790" s="94" t="s">
        <v>190</v>
      </c>
      <c r="F790" s="109" t="e">
        <f>Monthly!#REF!</f>
        <v>#REF!</v>
      </c>
      <c r="G790" s="91"/>
    </row>
    <row r="791" spans="2:7" ht="24.95" customHeight="1" thickBot="1" x14ac:dyDescent="0.3">
      <c r="B791" s="92"/>
      <c r="C791" s="95"/>
      <c r="D791" s="105"/>
      <c r="E791" s="96" t="s">
        <v>8</v>
      </c>
      <c r="F791" s="110" t="e">
        <f>Monthly!#REF!</f>
        <v>#REF!</v>
      </c>
      <c r="G791" s="91"/>
    </row>
    <row r="792" spans="2:7" ht="24.95" customHeight="1" thickTop="1" thickBot="1" x14ac:dyDescent="0.3">
      <c r="B792" s="92"/>
      <c r="C792" s="90"/>
      <c r="D792" s="101"/>
      <c r="E792" s="90"/>
      <c r="F792" s="101"/>
      <c r="G792" s="91"/>
    </row>
    <row r="793" spans="2:7" ht="24.95" customHeight="1" thickTop="1" thickBot="1" x14ac:dyDescent="0.3">
      <c r="B793" s="92"/>
      <c r="C793" s="86" t="s">
        <v>191</v>
      </c>
      <c r="D793" s="106" t="e">
        <f>SUM(D787:D791)</f>
        <v>#REF!</v>
      </c>
      <c r="E793" s="86" t="s">
        <v>192</v>
      </c>
      <c r="F793" s="106" t="e">
        <f>SUM(F787:F791)</f>
        <v>#REF!</v>
      </c>
      <c r="G793" s="91"/>
    </row>
    <row r="794" spans="2:7" ht="24.95" customHeight="1" thickTop="1" x14ac:dyDescent="0.25">
      <c r="B794" s="92"/>
      <c r="C794" s="90"/>
      <c r="D794" s="101"/>
      <c r="E794" s="90"/>
      <c r="F794" s="101"/>
      <c r="G794" s="91"/>
    </row>
    <row r="795" spans="2:7" ht="24.95" customHeight="1" thickBot="1" x14ac:dyDescent="0.3">
      <c r="B795" s="92"/>
      <c r="C795" s="90"/>
      <c r="D795" s="101"/>
      <c r="E795" s="90"/>
      <c r="F795" s="101"/>
      <c r="G795" s="91"/>
    </row>
    <row r="796" spans="2:7" ht="24.95" customHeight="1" thickTop="1" thickBot="1" x14ac:dyDescent="0.3">
      <c r="B796" s="92"/>
      <c r="C796" s="86" t="s">
        <v>193</v>
      </c>
      <c r="D796" s="106" t="e">
        <f>D793-F793</f>
        <v>#REF!</v>
      </c>
      <c r="E796" s="90"/>
      <c r="F796" s="101"/>
      <c r="G796" s="91"/>
    </row>
    <row r="797" spans="2:7" ht="24.95" customHeight="1" thickTop="1" thickBot="1" x14ac:dyDescent="0.3">
      <c r="B797" s="95"/>
      <c r="C797" s="213"/>
      <c r="D797" s="214"/>
      <c r="E797" s="98"/>
      <c r="F797" s="107"/>
      <c r="G797" s="97"/>
    </row>
    <row r="798" spans="2:7" ht="24.95" customHeight="1" thickTop="1" x14ac:dyDescent="0.25">
      <c r="B798" s="92"/>
      <c r="C798" s="200"/>
      <c r="D798" s="201"/>
      <c r="E798" s="90"/>
      <c r="F798" s="101"/>
      <c r="G798" s="91"/>
    </row>
    <row r="799" spans="2:7" ht="24.95" customHeight="1" x14ac:dyDescent="0.25">
      <c r="B799" s="92"/>
      <c r="C799" s="200"/>
      <c r="D799" s="201"/>
      <c r="E799" s="90"/>
      <c r="F799" s="101"/>
      <c r="G799" s="91"/>
    </row>
    <row r="800" spans="2:7" ht="24.95" customHeight="1" x14ac:dyDescent="0.25">
      <c r="B800" s="92"/>
      <c r="C800" s="200"/>
      <c r="D800" s="201"/>
      <c r="E800" s="90"/>
      <c r="F800" s="101"/>
      <c r="G800" s="91"/>
    </row>
    <row r="801" spans="2:7" ht="24.95" customHeight="1" thickBot="1" x14ac:dyDescent="0.3">
      <c r="B801" s="95"/>
      <c r="C801" s="98"/>
      <c r="D801" s="107"/>
      <c r="E801" s="98"/>
      <c r="F801" s="107"/>
      <c r="G801" s="97"/>
    </row>
    <row r="802" spans="2:7" ht="24.95" customHeight="1" thickTop="1" thickBot="1" x14ac:dyDescent="0.3">
      <c r="B802" s="86" t="s">
        <v>184</v>
      </c>
      <c r="C802" s="86" t="s">
        <v>185</v>
      </c>
      <c r="D802" s="100"/>
      <c r="E802" s="87"/>
      <c r="F802" s="100"/>
      <c r="G802" s="88"/>
    </row>
    <row r="803" spans="2:7" ht="24.95" customHeight="1" thickTop="1" thickBot="1" x14ac:dyDescent="0.3">
      <c r="B803" s="89" t="e">
        <f>Monthly!#REF!</f>
        <v>#REF!</v>
      </c>
      <c r="C803" s="89" t="str">
        <f>Monthly!$A$4</f>
        <v xml:space="preserve"> 30th April  2021</v>
      </c>
      <c r="D803" s="101"/>
      <c r="E803" s="90"/>
      <c r="F803" s="236" t="s">
        <v>219</v>
      </c>
      <c r="G803" s="91"/>
    </row>
    <row r="804" spans="2:7" ht="24.95" customHeight="1" thickTop="1" x14ac:dyDescent="0.25">
      <c r="B804" s="92"/>
      <c r="C804" s="90"/>
      <c r="D804" s="101"/>
      <c r="E804" s="90"/>
      <c r="F804" s="236" t="s">
        <v>222</v>
      </c>
      <c r="G804" s="91"/>
    </row>
    <row r="805" spans="2:7" ht="24.95" customHeight="1" x14ac:dyDescent="0.25">
      <c r="B805" s="92"/>
      <c r="C805" s="90"/>
      <c r="D805" s="101"/>
      <c r="E805" s="90"/>
      <c r="F805" s="236" t="s">
        <v>61</v>
      </c>
      <c r="G805" s="91"/>
    </row>
    <row r="806" spans="2:7" ht="24.95" customHeight="1" x14ac:dyDescent="0.25">
      <c r="B806" s="92"/>
      <c r="C806" s="90"/>
      <c r="D806" s="101"/>
      <c r="E806" s="90"/>
      <c r="F806" s="101"/>
      <c r="G806" s="91"/>
    </row>
    <row r="807" spans="2:7" ht="24.95" customHeight="1" x14ac:dyDescent="0.25">
      <c r="B807" s="92"/>
      <c r="C807" s="90"/>
      <c r="D807" s="101"/>
      <c r="E807" s="90"/>
      <c r="F807" s="101"/>
      <c r="G807" s="91"/>
    </row>
    <row r="808" spans="2:7" ht="24.95" customHeight="1" thickBot="1" x14ac:dyDescent="0.3">
      <c r="B808" s="92"/>
      <c r="C808" s="90"/>
      <c r="D808" s="101"/>
      <c r="E808" s="90"/>
      <c r="F808" s="101"/>
      <c r="G808" s="91"/>
    </row>
    <row r="809" spans="2:7" ht="24.95" customHeight="1" thickTop="1" thickBot="1" x14ac:dyDescent="0.3">
      <c r="B809" s="92"/>
      <c r="C809" s="93" t="s">
        <v>186</v>
      </c>
      <c r="D809" s="102"/>
      <c r="E809" s="86" t="s">
        <v>187</v>
      </c>
      <c r="F809" s="111"/>
      <c r="G809" s="91"/>
    </row>
    <row r="810" spans="2:7" ht="24.95" customHeight="1" thickTop="1" x14ac:dyDescent="0.25">
      <c r="B810" s="92"/>
      <c r="C810" s="92"/>
      <c r="D810" s="103"/>
      <c r="E810" s="94"/>
      <c r="F810" s="108"/>
      <c r="G810" s="91"/>
    </row>
    <row r="811" spans="2:7" ht="24.95" customHeight="1" x14ac:dyDescent="0.25">
      <c r="B811" s="92"/>
      <c r="C811" s="211" t="s">
        <v>215</v>
      </c>
      <c r="D811" s="104" t="e">
        <f>Monthly!#REF!</f>
        <v>#REF!</v>
      </c>
      <c r="E811" s="94" t="s">
        <v>10</v>
      </c>
      <c r="F811" s="109" t="e">
        <f>Monthly!#REF!</f>
        <v>#REF!</v>
      </c>
      <c r="G811" s="91"/>
    </row>
    <row r="812" spans="2:7" ht="24.95" customHeight="1" x14ac:dyDescent="0.25">
      <c r="B812" s="92"/>
      <c r="C812" s="211" t="s">
        <v>216</v>
      </c>
      <c r="D812" s="104" t="e">
        <f>Monthly!#REF!</f>
        <v>#REF!</v>
      </c>
      <c r="E812" s="94" t="s">
        <v>11</v>
      </c>
      <c r="F812" s="109" t="e">
        <f>Monthly!#REF!</f>
        <v>#REF!</v>
      </c>
      <c r="G812" s="91"/>
    </row>
    <row r="813" spans="2:7" ht="24.95" customHeight="1" x14ac:dyDescent="0.25">
      <c r="B813" s="92"/>
      <c r="C813" s="224" t="s">
        <v>213</v>
      </c>
      <c r="D813" s="104" t="e">
        <f>Monthly!#REF!</f>
        <v>#REF!</v>
      </c>
      <c r="E813" s="94" t="s">
        <v>189</v>
      </c>
      <c r="F813" s="109" t="e">
        <f>Monthly!#REF!</f>
        <v>#REF!</v>
      </c>
      <c r="G813" s="91"/>
    </row>
    <row r="814" spans="2:7" ht="24.95" customHeight="1" x14ac:dyDescent="0.25">
      <c r="B814" s="92"/>
      <c r="C814" s="225" t="s">
        <v>153</v>
      </c>
      <c r="D814" s="104" t="e">
        <f>Monthly!#REF!</f>
        <v>#REF!</v>
      </c>
      <c r="E814" s="94" t="s">
        <v>190</v>
      </c>
      <c r="F814" s="109" t="e">
        <f>Monthly!#REF!</f>
        <v>#REF!</v>
      </c>
      <c r="G814" s="91"/>
    </row>
    <row r="815" spans="2:7" ht="24.95" customHeight="1" thickBot="1" x14ac:dyDescent="0.3">
      <c r="B815" s="92"/>
      <c r="C815" s="95"/>
      <c r="D815" s="105"/>
      <c r="E815" s="96" t="s">
        <v>8</v>
      </c>
      <c r="F815" s="110" t="e">
        <f>Monthly!#REF!</f>
        <v>#REF!</v>
      </c>
      <c r="G815" s="91"/>
    </row>
    <row r="816" spans="2:7" ht="24.95" customHeight="1" thickTop="1" thickBot="1" x14ac:dyDescent="0.3">
      <c r="B816" s="92"/>
      <c r="C816" s="90"/>
      <c r="D816" s="101"/>
      <c r="E816" s="90"/>
      <c r="F816" s="101"/>
      <c r="G816" s="91"/>
    </row>
    <row r="817" spans="2:7" ht="24.95" customHeight="1" thickTop="1" thickBot="1" x14ac:dyDescent="0.3">
      <c r="B817" s="92"/>
      <c r="C817" s="86" t="s">
        <v>191</v>
      </c>
      <c r="D817" s="106" t="e">
        <f>SUM(D811:D815)</f>
        <v>#REF!</v>
      </c>
      <c r="E817" s="86" t="s">
        <v>192</v>
      </c>
      <c r="F817" s="106" t="e">
        <f>SUM(F811:F815)</f>
        <v>#REF!</v>
      </c>
      <c r="G817" s="91"/>
    </row>
    <row r="818" spans="2:7" ht="24.95" customHeight="1" thickTop="1" x14ac:dyDescent="0.25">
      <c r="B818" s="92"/>
      <c r="C818" s="90"/>
      <c r="D818" s="101"/>
      <c r="E818" s="90"/>
      <c r="F818" s="101"/>
      <c r="G818" s="91"/>
    </row>
    <row r="819" spans="2:7" ht="24.95" customHeight="1" thickBot="1" x14ac:dyDescent="0.3">
      <c r="B819" s="92"/>
      <c r="C819" s="90"/>
      <c r="D819" s="101"/>
      <c r="E819" s="90"/>
      <c r="F819" s="101"/>
      <c r="G819" s="91"/>
    </row>
    <row r="820" spans="2:7" ht="24.95" customHeight="1" thickTop="1" thickBot="1" x14ac:dyDescent="0.3">
      <c r="B820" s="92"/>
      <c r="C820" s="86" t="s">
        <v>193</v>
      </c>
      <c r="D820" s="106" t="e">
        <f>D817-F817</f>
        <v>#REF!</v>
      </c>
      <c r="E820" s="90"/>
      <c r="F820" s="101"/>
      <c r="G820" s="91"/>
    </row>
    <row r="821" spans="2:7" ht="24.95" customHeight="1" thickTop="1" thickBot="1" x14ac:dyDescent="0.3">
      <c r="B821" s="95"/>
      <c r="C821" s="213"/>
      <c r="D821" s="214"/>
      <c r="E821" s="98"/>
      <c r="F821" s="107"/>
      <c r="G821" s="97"/>
    </row>
    <row r="822" spans="2:7" ht="24.95" customHeight="1" thickTop="1" x14ac:dyDescent="0.25">
      <c r="B822" s="92"/>
      <c r="C822" s="200"/>
      <c r="D822" s="201"/>
      <c r="E822" s="90"/>
      <c r="F822" s="101"/>
      <c r="G822" s="91"/>
    </row>
    <row r="823" spans="2:7" ht="24.95" customHeight="1" x14ac:dyDescent="0.25">
      <c r="B823" s="92"/>
      <c r="C823" s="200"/>
      <c r="D823" s="201"/>
      <c r="E823" s="90"/>
      <c r="F823" s="101"/>
      <c r="G823" s="91"/>
    </row>
    <row r="824" spans="2:7" ht="24.95" customHeight="1" x14ac:dyDescent="0.25">
      <c r="B824" s="92"/>
      <c r="C824" s="200"/>
      <c r="D824" s="201"/>
      <c r="E824" s="90"/>
      <c r="F824" s="101"/>
      <c r="G824" s="91"/>
    </row>
    <row r="825" spans="2:7" ht="24.95" customHeight="1" thickBot="1" x14ac:dyDescent="0.3">
      <c r="B825" s="95"/>
      <c r="C825" s="98"/>
      <c r="D825" s="107"/>
      <c r="E825" s="98"/>
      <c r="F825" s="107"/>
      <c r="G825" s="97"/>
    </row>
    <row r="826" spans="2:7" ht="24.95" customHeight="1" thickTop="1" thickBot="1" x14ac:dyDescent="0.3">
      <c r="B826" s="86" t="s">
        <v>184</v>
      </c>
      <c r="C826" s="86" t="s">
        <v>185</v>
      </c>
      <c r="D826" s="100"/>
      <c r="E826" s="87"/>
      <c r="F826" s="100"/>
      <c r="G826" s="88"/>
    </row>
    <row r="827" spans="2:7" ht="24.95" customHeight="1" thickTop="1" thickBot="1" x14ac:dyDescent="0.3">
      <c r="B827" s="89" t="e">
        <f>Monthly!#REF!</f>
        <v>#REF!</v>
      </c>
      <c r="C827" s="89" t="str">
        <f>Monthly!$A$4</f>
        <v xml:space="preserve"> 30th April  2021</v>
      </c>
      <c r="D827" s="101"/>
      <c r="E827" s="90"/>
      <c r="F827" s="236" t="s">
        <v>219</v>
      </c>
      <c r="G827" s="91"/>
    </row>
    <row r="828" spans="2:7" ht="24.95" customHeight="1" thickTop="1" x14ac:dyDescent="0.25">
      <c r="B828" s="92"/>
      <c r="C828" s="90"/>
      <c r="D828" s="101"/>
      <c r="E828" s="90"/>
      <c r="F828" s="236" t="s">
        <v>222</v>
      </c>
      <c r="G828" s="91"/>
    </row>
    <row r="829" spans="2:7" ht="24.95" customHeight="1" x14ac:dyDescent="0.25">
      <c r="B829" s="92"/>
      <c r="C829" s="90"/>
      <c r="D829" s="101"/>
      <c r="E829" s="90"/>
      <c r="F829" s="236" t="s">
        <v>61</v>
      </c>
      <c r="G829" s="91"/>
    </row>
    <row r="830" spans="2:7" ht="24.95" customHeight="1" x14ac:dyDescent="0.25">
      <c r="B830" s="92"/>
      <c r="C830" s="90"/>
      <c r="D830" s="101"/>
      <c r="E830" s="90"/>
      <c r="F830" s="101"/>
      <c r="G830" s="91"/>
    </row>
    <row r="831" spans="2:7" ht="24.95" customHeight="1" x14ac:dyDescent="0.25">
      <c r="B831" s="92"/>
      <c r="C831" s="90"/>
      <c r="D831" s="101"/>
      <c r="E831" s="90"/>
      <c r="F831" s="101"/>
      <c r="G831" s="91"/>
    </row>
    <row r="832" spans="2:7" ht="24.95" customHeight="1" thickBot="1" x14ac:dyDescent="0.3">
      <c r="B832" s="92"/>
      <c r="C832" s="90"/>
      <c r="D832" s="101"/>
      <c r="E832" s="90"/>
      <c r="F832" s="101"/>
      <c r="G832" s="91"/>
    </row>
    <row r="833" spans="2:7" ht="24.95" customHeight="1" thickTop="1" thickBot="1" x14ac:dyDescent="0.3">
      <c r="B833" s="92"/>
      <c r="C833" s="93" t="s">
        <v>186</v>
      </c>
      <c r="D833" s="102"/>
      <c r="E833" s="86" t="s">
        <v>187</v>
      </c>
      <c r="F833" s="111"/>
      <c r="G833" s="91"/>
    </row>
    <row r="834" spans="2:7" ht="24.95" customHeight="1" thickTop="1" x14ac:dyDescent="0.25">
      <c r="B834" s="92"/>
      <c r="C834" s="92"/>
      <c r="D834" s="103"/>
      <c r="E834" s="94"/>
      <c r="F834" s="108"/>
      <c r="G834" s="91"/>
    </row>
    <row r="835" spans="2:7" ht="24.95" customHeight="1" x14ac:dyDescent="0.25">
      <c r="B835" s="92"/>
      <c r="C835" s="211" t="s">
        <v>215</v>
      </c>
      <c r="D835" s="104" t="e">
        <f>Monthly!#REF!</f>
        <v>#REF!</v>
      </c>
      <c r="E835" s="94" t="s">
        <v>10</v>
      </c>
      <c r="F835" s="109" t="e">
        <f>Monthly!#REF!</f>
        <v>#REF!</v>
      </c>
      <c r="G835" s="91"/>
    </row>
    <row r="836" spans="2:7" ht="24.95" customHeight="1" x14ac:dyDescent="0.25">
      <c r="B836" s="92"/>
      <c r="C836" s="211" t="s">
        <v>216</v>
      </c>
      <c r="D836" s="104" t="e">
        <f>Monthly!#REF!</f>
        <v>#REF!</v>
      </c>
      <c r="E836" s="94" t="s">
        <v>11</v>
      </c>
      <c r="F836" s="109" t="e">
        <f>Monthly!#REF!</f>
        <v>#REF!</v>
      </c>
      <c r="G836" s="91"/>
    </row>
    <row r="837" spans="2:7" ht="24.95" customHeight="1" x14ac:dyDescent="0.25">
      <c r="B837" s="92"/>
      <c r="C837" s="225" t="s">
        <v>153</v>
      </c>
      <c r="D837" s="104" t="e">
        <f>Monthly!#REF!</f>
        <v>#REF!</v>
      </c>
      <c r="E837" s="94" t="s">
        <v>189</v>
      </c>
      <c r="F837" s="109" t="e">
        <f>Monthly!#REF!</f>
        <v>#REF!</v>
      </c>
      <c r="G837" s="91"/>
    </row>
    <row r="838" spans="2:7" ht="24.95" customHeight="1" x14ac:dyDescent="0.25">
      <c r="B838" s="92"/>
      <c r="C838" s="92" t="s">
        <v>8</v>
      </c>
      <c r="D838" s="104" t="e">
        <f>#REF!</f>
        <v>#REF!</v>
      </c>
      <c r="E838" s="94" t="s">
        <v>190</v>
      </c>
      <c r="F838" s="109" t="e">
        <f>Monthly!#REF!</f>
        <v>#REF!</v>
      </c>
      <c r="G838" s="91"/>
    </row>
    <row r="839" spans="2:7" ht="24.95" customHeight="1" thickBot="1" x14ac:dyDescent="0.3">
      <c r="B839" s="92"/>
      <c r="C839" s="95"/>
      <c r="D839" s="105"/>
      <c r="E839" s="96" t="s">
        <v>8</v>
      </c>
      <c r="F839" s="110" t="e">
        <f>Monthly!#REF!</f>
        <v>#REF!</v>
      </c>
      <c r="G839" s="91"/>
    </row>
    <row r="840" spans="2:7" ht="24.95" customHeight="1" thickTop="1" thickBot="1" x14ac:dyDescent="0.3">
      <c r="B840" s="92"/>
      <c r="C840" s="90"/>
      <c r="D840" s="101"/>
      <c r="E840" s="90"/>
      <c r="F840" s="101"/>
      <c r="G840" s="91"/>
    </row>
    <row r="841" spans="2:7" ht="24.95" customHeight="1" thickTop="1" thickBot="1" x14ac:dyDescent="0.3">
      <c r="B841" s="92"/>
      <c r="C841" s="86" t="s">
        <v>191</v>
      </c>
      <c r="D841" s="106" t="e">
        <f>SUM(D835:D839)</f>
        <v>#REF!</v>
      </c>
      <c r="E841" s="86" t="s">
        <v>192</v>
      </c>
      <c r="F841" s="106" t="e">
        <f>SUM(F835:F839)</f>
        <v>#REF!</v>
      </c>
      <c r="G841" s="91"/>
    </row>
    <row r="842" spans="2:7" ht="24.95" customHeight="1" thickTop="1" x14ac:dyDescent="0.25">
      <c r="B842" s="92"/>
      <c r="C842" s="90"/>
      <c r="D842" s="101"/>
      <c r="E842" s="90"/>
      <c r="F842" s="101"/>
      <c r="G842" s="91"/>
    </row>
    <row r="843" spans="2:7" ht="24.95" customHeight="1" thickBot="1" x14ac:dyDescent="0.3">
      <c r="B843" s="92"/>
      <c r="C843" s="90"/>
      <c r="D843" s="101"/>
      <c r="E843" s="90"/>
      <c r="F843" s="101"/>
      <c r="G843" s="91"/>
    </row>
    <row r="844" spans="2:7" ht="24.95" customHeight="1" thickTop="1" thickBot="1" x14ac:dyDescent="0.3">
      <c r="B844" s="92"/>
      <c r="C844" s="86" t="s">
        <v>193</v>
      </c>
      <c r="D844" s="106" t="e">
        <f>D841-F841</f>
        <v>#REF!</v>
      </c>
      <c r="E844" s="90"/>
      <c r="F844" s="101"/>
      <c r="G844" s="91"/>
    </row>
    <row r="845" spans="2:7" ht="24.95" customHeight="1" thickTop="1" thickBot="1" x14ac:dyDescent="0.3">
      <c r="B845" s="95"/>
      <c r="C845" s="213"/>
      <c r="D845" s="214"/>
      <c r="E845" s="98"/>
      <c r="F845" s="107"/>
      <c r="G845" s="97"/>
    </row>
    <row r="846" spans="2:7" ht="24.95" customHeight="1" thickTop="1" x14ac:dyDescent="0.25">
      <c r="B846" s="92"/>
      <c r="C846" s="200"/>
      <c r="D846" s="201"/>
      <c r="E846" s="90"/>
      <c r="F846" s="101"/>
      <c r="G846" s="91"/>
    </row>
    <row r="847" spans="2:7" ht="24.95" customHeight="1" x14ac:dyDescent="0.25">
      <c r="B847" s="92"/>
      <c r="C847" s="200"/>
      <c r="D847" s="201"/>
      <c r="E847" s="90"/>
      <c r="F847" s="101"/>
      <c r="G847" s="91"/>
    </row>
    <row r="848" spans="2:7" ht="24.95" customHeight="1" x14ac:dyDescent="0.25">
      <c r="B848" s="92"/>
      <c r="C848" s="200"/>
      <c r="D848" s="201"/>
      <c r="E848" s="90"/>
      <c r="F848" s="101"/>
      <c r="G848" s="91"/>
    </row>
    <row r="849" spans="2:7" ht="25.5" customHeight="1" thickBot="1" x14ac:dyDescent="0.3">
      <c r="B849" s="95"/>
      <c r="C849" s="98"/>
      <c r="D849" s="107"/>
      <c r="E849" s="98"/>
      <c r="F849" s="107"/>
      <c r="G849" s="97"/>
    </row>
    <row r="850" spans="2:7" ht="24.95" customHeight="1" thickTop="1" thickBot="1" x14ac:dyDescent="0.3">
      <c r="B850" s="86" t="s">
        <v>184</v>
      </c>
      <c r="C850" s="86" t="s">
        <v>185</v>
      </c>
      <c r="D850" s="100"/>
      <c r="E850" s="87"/>
      <c r="F850" s="100"/>
      <c r="G850" s="88"/>
    </row>
    <row r="851" spans="2:7" ht="24.95" customHeight="1" thickTop="1" thickBot="1" x14ac:dyDescent="0.3">
      <c r="B851" s="89" t="str">
        <f>Monthly!A23</f>
        <v>Oscar Elcock</v>
      </c>
      <c r="C851" s="89" t="str">
        <f>Monthly!$A$4</f>
        <v xml:space="preserve"> 30th April  2021</v>
      </c>
      <c r="D851" s="101"/>
      <c r="E851" s="90"/>
      <c r="F851" s="236" t="s">
        <v>219</v>
      </c>
      <c r="G851" s="91"/>
    </row>
    <row r="852" spans="2:7" ht="24.95" customHeight="1" thickTop="1" x14ac:dyDescent="0.25">
      <c r="B852" s="92"/>
      <c r="C852" s="90"/>
      <c r="D852" s="101"/>
      <c r="E852" s="90"/>
      <c r="F852" s="236" t="s">
        <v>222</v>
      </c>
      <c r="G852" s="91"/>
    </row>
    <row r="853" spans="2:7" ht="24.95" customHeight="1" x14ac:dyDescent="0.25">
      <c r="B853" s="92"/>
      <c r="C853" s="90"/>
      <c r="D853" s="101"/>
      <c r="E853" s="90"/>
      <c r="F853" s="236" t="s">
        <v>61</v>
      </c>
      <c r="G853" s="91"/>
    </row>
    <row r="854" spans="2:7" ht="24.95" customHeight="1" x14ac:dyDescent="0.25">
      <c r="B854" s="92"/>
      <c r="C854" s="90"/>
      <c r="D854" s="101"/>
      <c r="E854" s="90"/>
      <c r="F854" s="101"/>
      <c r="G854" s="91"/>
    </row>
    <row r="855" spans="2:7" ht="24.95" customHeight="1" x14ac:dyDescent="0.25">
      <c r="B855" s="92"/>
      <c r="C855" s="90"/>
      <c r="D855" s="101"/>
      <c r="E855" s="90"/>
      <c r="F855" s="101"/>
      <c r="G855" s="91"/>
    </row>
    <row r="856" spans="2:7" ht="24.95" customHeight="1" thickBot="1" x14ac:dyDescent="0.3">
      <c r="B856" s="92"/>
      <c r="C856" s="90"/>
      <c r="D856" s="101"/>
      <c r="E856" s="90"/>
      <c r="F856" s="101"/>
      <c r="G856" s="91"/>
    </row>
    <row r="857" spans="2:7" ht="24.95" customHeight="1" thickTop="1" thickBot="1" x14ac:dyDescent="0.3">
      <c r="B857" s="92"/>
      <c r="C857" s="93" t="s">
        <v>186</v>
      </c>
      <c r="D857" s="102"/>
      <c r="E857" s="86" t="s">
        <v>187</v>
      </c>
      <c r="F857" s="111"/>
      <c r="G857" s="91"/>
    </row>
    <row r="858" spans="2:7" ht="24.95" customHeight="1" thickTop="1" x14ac:dyDescent="0.25">
      <c r="B858" s="92"/>
      <c r="C858" s="92"/>
      <c r="D858" s="103"/>
      <c r="E858" s="94"/>
      <c r="F858" s="108"/>
      <c r="G858" s="91"/>
    </row>
    <row r="859" spans="2:7" ht="24.95" customHeight="1" x14ac:dyDescent="0.25">
      <c r="B859" s="92"/>
      <c r="C859" s="92" t="s">
        <v>4</v>
      </c>
      <c r="D859" s="104">
        <f>Monthly!G21</f>
        <v>2950</v>
      </c>
      <c r="E859" s="94" t="s">
        <v>10</v>
      </c>
      <c r="F859" s="109">
        <f>Monthly!L21</f>
        <v>0</v>
      </c>
      <c r="G859" s="91"/>
    </row>
    <row r="860" spans="2:7" ht="24.95" customHeight="1" x14ac:dyDescent="0.25">
      <c r="B860" s="92"/>
      <c r="C860" s="92" t="s">
        <v>188</v>
      </c>
      <c r="D860" s="104">
        <f>Monthly!I21</f>
        <v>0</v>
      </c>
      <c r="E860" s="94" t="s">
        <v>11</v>
      </c>
      <c r="F860" s="109"/>
      <c r="G860" s="91"/>
    </row>
    <row r="861" spans="2:7" ht="24.95" customHeight="1" x14ac:dyDescent="0.25">
      <c r="B861" s="92"/>
      <c r="C861" s="226" t="s">
        <v>218</v>
      </c>
      <c r="D861" s="104">
        <f>Monthly!J21</f>
        <v>0</v>
      </c>
      <c r="E861" s="94" t="s">
        <v>189</v>
      </c>
      <c r="F861" s="109"/>
      <c r="G861" s="91"/>
    </row>
    <row r="862" spans="2:7" ht="24.95" customHeight="1" x14ac:dyDescent="0.25">
      <c r="B862" s="92"/>
      <c r="C862" s="92" t="s">
        <v>8</v>
      </c>
      <c r="D862" s="104" t="e">
        <f>#REF!</f>
        <v>#REF!</v>
      </c>
      <c r="E862" s="94" t="s">
        <v>190</v>
      </c>
      <c r="F862" s="109"/>
      <c r="G862" s="91"/>
    </row>
    <row r="863" spans="2:7" ht="24.95" customHeight="1" thickBot="1" x14ac:dyDescent="0.3">
      <c r="B863" s="92"/>
      <c r="C863" s="95"/>
      <c r="D863" s="105"/>
      <c r="E863" s="96" t="s">
        <v>8</v>
      </c>
      <c r="F863" s="110"/>
      <c r="G863" s="91"/>
    </row>
    <row r="864" spans="2:7" ht="24.95" customHeight="1" thickTop="1" thickBot="1" x14ac:dyDescent="0.3">
      <c r="B864" s="92"/>
      <c r="C864" s="90"/>
      <c r="D864" s="101"/>
      <c r="E864" s="90"/>
      <c r="F864" s="101"/>
      <c r="G864" s="91"/>
    </row>
    <row r="865" spans="2:7" ht="24.95" customHeight="1" thickTop="1" thickBot="1" x14ac:dyDescent="0.3">
      <c r="B865" s="92"/>
      <c r="C865" s="86" t="s">
        <v>191</v>
      </c>
      <c r="D865" s="106" t="e">
        <f>SUM(D859:D863)</f>
        <v>#REF!</v>
      </c>
      <c r="E865" s="86" t="s">
        <v>192</v>
      </c>
      <c r="F865" s="106">
        <f>SUM(F859:F863)</f>
        <v>0</v>
      </c>
      <c r="G865" s="91"/>
    </row>
    <row r="866" spans="2:7" ht="24.95" customHeight="1" thickTop="1" x14ac:dyDescent="0.25">
      <c r="B866" s="92"/>
      <c r="C866" s="90"/>
      <c r="D866" s="101"/>
      <c r="E866" s="90"/>
      <c r="F866" s="101"/>
      <c r="G866" s="91"/>
    </row>
    <row r="867" spans="2:7" ht="24.95" customHeight="1" thickBot="1" x14ac:dyDescent="0.3">
      <c r="B867" s="92"/>
      <c r="C867" s="90"/>
      <c r="D867" s="101"/>
      <c r="E867" s="90"/>
      <c r="F867" s="101"/>
      <c r="G867" s="91"/>
    </row>
    <row r="868" spans="2:7" ht="24.95" customHeight="1" thickTop="1" thickBot="1" x14ac:dyDescent="0.3">
      <c r="B868" s="92"/>
      <c r="C868" s="86" t="s">
        <v>193</v>
      </c>
      <c r="D868" s="106" t="e">
        <f>D865-F865</f>
        <v>#REF!</v>
      </c>
      <c r="E868" s="90"/>
      <c r="F868" s="101"/>
      <c r="G868" s="91"/>
    </row>
    <row r="869" spans="2:7" ht="24.95" customHeight="1" thickTop="1" thickBot="1" x14ac:dyDescent="0.3">
      <c r="B869" s="95"/>
      <c r="C869" s="98"/>
      <c r="D869" s="107"/>
      <c r="E869" s="98"/>
      <c r="F869" s="107"/>
      <c r="G869" s="97"/>
    </row>
    <row r="870" spans="2:7" ht="24.95" customHeight="1" thickTop="1" thickBot="1" x14ac:dyDescent="0.3">
      <c r="B870" s="86" t="s">
        <v>184</v>
      </c>
      <c r="C870" s="86" t="s">
        <v>185</v>
      </c>
      <c r="D870" s="100"/>
      <c r="E870" s="87"/>
      <c r="F870" s="100"/>
      <c r="G870" s="88"/>
    </row>
    <row r="871" spans="2:7" ht="24.95" customHeight="1" thickTop="1" thickBot="1" x14ac:dyDescent="0.3">
      <c r="B871" s="89" t="e">
        <f>#REF!</f>
        <v>#REF!</v>
      </c>
      <c r="C871" s="89" t="str">
        <f>Monthly!$A$4</f>
        <v xml:space="preserve"> 30th April  2021</v>
      </c>
      <c r="D871" s="101"/>
      <c r="E871" s="90"/>
      <c r="F871" s="236" t="s">
        <v>219</v>
      </c>
      <c r="G871" s="91"/>
    </row>
    <row r="872" spans="2:7" ht="24.95" customHeight="1" thickTop="1" x14ac:dyDescent="0.25">
      <c r="B872" s="92"/>
      <c r="C872" s="90"/>
      <c r="D872" s="101"/>
      <c r="E872" s="90"/>
      <c r="F872" s="236" t="s">
        <v>222</v>
      </c>
      <c r="G872" s="91"/>
    </row>
    <row r="873" spans="2:7" ht="24.95" customHeight="1" x14ac:dyDescent="0.25">
      <c r="B873" s="92"/>
      <c r="C873" s="90"/>
      <c r="D873" s="101"/>
      <c r="E873" s="90"/>
      <c r="F873" s="236" t="s">
        <v>61</v>
      </c>
      <c r="G873" s="91"/>
    </row>
    <row r="874" spans="2:7" ht="24.95" customHeight="1" x14ac:dyDescent="0.25">
      <c r="B874" s="92"/>
      <c r="C874" s="90"/>
      <c r="D874" s="101"/>
      <c r="E874" s="90"/>
      <c r="F874" s="101"/>
      <c r="G874" s="91"/>
    </row>
    <row r="875" spans="2:7" ht="24.95" customHeight="1" x14ac:dyDescent="0.25">
      <c r="B875" s="92"/>
      <c r="C875" s="90"/>
      <c r="D875" s="101"/>
      <c r="E875" s="90"/>
      <c r="F875" s="101"/>
      <c r="G875" s="91"/>
    </row>
    <row r="876" spans="2:7" ht="24.95" customHeight="1" thickBot="1" x14ac:dyDescent="0.3">
      <c r="B876" s="92"/>
      <c r="C876" s="90"/>
      <c r="D876" s="101"/>
      <c r="E876" s="90"/>
      <c r="F876" s="101"/>
      <c r="G876" s="91"/>
    </row>
    <row r="877" spans="2:7" ht="24.95" customHeight="1" thickTop="1" thickBot="1" x14ac:dyDescent="0.3">
      <c r="B877" s="92"/>
      <c r="C877" s="93" t="s">
        <v>186</v>
      </c>
      <c r="D877" s="102"/>
      <c r="E877" s="86" t="s">
        <v>187</v>
      </c>
      <c r="F877" s="111"/>
      <c r="G877" s="91"/>
    </row>
    <row r="878" spans="2:7" ht="24.95" customHeight="1" thickTop="1" x14ac:dyDescent="0.25">
      <c r="B878" s="92"/>
      <c r="C878" s="92"/>
      <c r="D878" s="103"/>
      <c r="E878" s="94"/>
      <c r="F878" s="108"/>
      <c r="G878" s="91"/>
    </row>
    <row r="879" spans="2:7" ht="24.95" customHeight="1" x14ac:dyDescent="0.25">
      <c r="B879" s="92"/>
      <c r="C879" s="92" t="s">
        <v>4</v>
      </c>
      <c r="D879" s="104" t="e">
        <f>#REF!</f>
        <v>#REF!</v>
      </c>
      <c r="E879" s="94" t="s">
        <v>10</v>
      </c>
      <c r="F879" s="109" t="e">
        <f>#REF!</f>
        <v>#REF!</v>
      </c>
      <c r="G879" s="91"/>
    </row>
    <row r="880" spans="2:7" ht="24.95" customHeight="1" x14ac:dyDescent="0.25">
      <c r="B880" s="92"/>
      <c r="C880" s="92" t="s">
        <v>188</v>
      </c>
      <c r="D880" s="104"/>
      <c r="E880" s="94" t="s">
        <v>11</v>
      </c>
      <c r="F880" s="109" t="e">
        <f>#REF!</f>
        <v>#REF!</v>
      </c>
      <c r="G880" s="91"/>
    </row>
    <row r="881" spans="2:7" ht="24.95" customHeight="1" x14ac:dyDescent="0.25">
      <c r="B881" s="92"/>
      <c r="C881" s="92" t="s">
        <v>6</v>
      </c>
      <c r="D881" s="104"/>
      <c r="E881" s="94" t="s">
        <v>189</v>
      </c>
      <c r="F881" s="109"/>
      <c r="G881" s="91"/>
    </row>
    <row r="882" spans="2:7" ht="24.95" customHeight="1" x14ac:dyDescent="0.25">
      <c r="B882" s="92"/>
      <c r="C882" s="92" t="s">
        <v>8</v>
      </c>
      <c r="D882" s="104" t="e">
        <f>#REF!</f>
        <v>#REF!</v>
      </c>
      <c r="E882" s="94" t="s">
        <v>190</v>
      </c>
      <c r="F882" s="109"/>
      <c r="G882" s="91"/>
    </row>
    <row r="883" spans="2:7" ht="24.95" customHeight="1" thickBot="1" x14ac:dyDescent="0.3">
      <c r="B883" s="92"/>
      <c r="C883" s="95"/>
      <c r="D883" s="105"/>
      <c r="E883" s="96" t="s">
        <v>8</v>
      </c>
      <c r="F883" s="110"/>
      <c r="G883" s="91"/>
    </row>
    <row r="884" spans="2:7" ht="24.95" customHeight="1" thickTop="1" thickBot="1" x14ac:dyDescent="0.3">
      <c r="B884" s="92"/>
      <c r="C884" s="90"/>
      <c r="D884" s="101"/>
      <c r="E884" s="90"/>
      <c r="F884" s="101"/>
      <c r="G884" s="91"/>
    </row>
    <row r="885" spans="2:7" ht="24.95" customHeight="1" thickTop="1" thickBot="1" x14ac:dyDescent="0.3">
      <c r="B885" s="92"/>
      <c r="C885" s="86" t="s">
        <v>191</v>
      </c>
      <c r="D885" s="106" t="e">
        <f>SUM(D879:D883)</f>
        <v>#REF!</v>
      </c>
      <c r="E885" s="86" t="s">
        <v>192</v>
      </c>
      <c r="F885" s="106" t="e">
        <f>SUM(F879:F883)</f>
        <v>#REF!</v>
      </c>
      <c r="G885" s="91"/>
    </row>
    <row r="886" spans="2:7" ht="24.95" customHeight="1" thickTop="1" x14ac:dyDescent="0.25">
      <c r="B886" s="92"/>
      <c r="C886" s="90"/>
      <c r="D886" s="101"/>
      <c r="E886" s="90"/>
      <c r="F886" s="101"/>
      <c r="G886" s="91"/>
    </row>
    <row r="887" spans="2:7" ht="24.95" customHeight="1" thickBot="1" x14ac:dyDescent="0.3">
      <c r="B887" s="92"/>
      <c r="C887" s="90"/>
      <c r="D887" s="101"/>
      <c r="E887" s="90"/>
      <c r="F887" s="101"/>
      <c r="G887" s="91"/>
    </row>
    <row r="888" spans="2:7" ht="24.95" customHeight="1" thickTop="1" thickBot="1" x14ac:dyDescent="0.3">
      <c r="B888" s="92"/>
      <c r="C888" s="86" t="s">
        <v>193</v>
      </c>
      <c r="D888" s="106" t="e">
        <f>D885-F885</f>
        <v>#REF!</v>
      </c>
      <c r="E888" s="90"/>
      <c r="F888" s="101"/>
      <c r="G888" s="91"/>
    </row>
    <row r="889" spans="2:7" ht="24.95" customHeight="1" thickTop="1" thickBot="1" x14ac:dyDescent="0.3">
      <c r="B889" s="95"/>
      <c r="C889" s="98"/>
      <c r="D889" s="107"/>
      <c r="E889" s="98"/>
      <c r="F889" s="107"/>
      <c r="G889" s="97"/>
    </row>
    <row r="890" spans="2:7" ht="24.95" customHeight="1" thickTop="1" x14ac:dyDescent="0.25"/>
  </sheetData>
  <printOptions horizontalCentered="1"/>
  <pageMargins left="0.70866141732283472" right="0.70866141732283472" top="0.74803149606299213" bottom="0.74803149606299213" header="0.31496062992125984" footer="0.31496062992125984"/>
  <pageSetup paperSize="9" scale="62" fitToHeight="18" orientation="portrait" r:id="rId1"/>
  <rowBreaks count="36" manualBreakCount="36">
    <brk id="23" min="1" max="6" man="1"/>
    <brk id="47" min="1" max="6" man="1"/>
    <brk id="71" min="1" max="6" man="1"/>
    <brk id="95" min="1" max="6" man="1"/>
    <brk id="119" min="1" max="6" man="1"/>
    <brk id="143" min="1" max="6" man="1"/>
    <brk id="167" min="1" max="6" man="1"/>
    <brk id="191" min="1" max="6" man="1"/>
    <brk id="215" min="1" max="6" man="1"/>
    <brk id="239" min="1" max="6" man="1"/>
    <brk id="263" min="1" max="6" man="1"/>
    <brk id="287" min="1" max="6" man="1"/>
    <brk id="311" min="1" max="6" man="1"/>
    <brk id="335" min="1" max="6" man="1"/>
    <brk id="359" min="1" max="6" man="1"/>
    <brk id="383" min="1" max="6" man="1"/>
    <brk id="407" min="1" max="6" man="1"/>
    <brk id="433" min="1" max="6" man="1"/>
    <brk id="458" min="1" max="6" man="1"/>
    <brk id="482" min="1" max="6" man="1"/>
    <brk id="508" min="1" max="6" man="1"/>
    <brk id="534" min="1" max="6" man="1"/>
    <brk id="558" min="1" max="6" man="1"/>
    <brk id="582" min="1" max="6" man="1"/>
    <brk id="606" min="1" max="6" man="1"/>
    <brk id="630" min="1" max="6" man="1"/>
    <brk id="654" min="1" max="6" man="1"/>
    <brk id="678" min="1" max="6" man="1"/>
    <brk id="702" min="1" max="6" man="1"/>
    <brk id="726" min="1" max="6" man="1"/>
    <brk id="750" min="1" max="6" man="1"/>
    <brk id="775" min="1" max="6" man="1"/>
    <brk id="799" min="1" max="6" man="1"/>
    <brk id="823" min="1" max="6" man="1"/>
    <brk id="846" min="1" max="6" man="1"/>
    <brk id="86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Monthly</vt:lpstr>
      <vt:lpstr>Union Dues</vt:lpstr>
      <vt:lpstr>3rdParty</vt:lpstr>
      <vt:lpstr>PAYE</vt:lpstr>
      <vt:lpstr>NIS</vt:lpstr>
      <vt:lpstr>Journal</vt:lpstr>
      <vt:lpstr>Third Party Control</vt:lpstr>
      <vt:lpstr>Pay slips</vt:lpstr>
      <vt:lpstr>'3rdParty'!Print_Area</vt:lpstr>
      <vt:lpstr>Journal!Print_Area</vt:lpstr>
      <vt:lpstr>Monthly!Print_Area</vt:lpstr>
      <vt:lpstr>NIS!Print_Area</vt:lpstr>
      <vt:lpstr>'Pay slips'!Print_Area</vt:lpstr>
      <vt:lpstr>PAYE!Print_Area</vt:lpstr>
      <vt:lpstr>'Third Party Control'!Print_Area</vt:lpstr>
      <vt:lpstr>'3rdParty'!Print_Titles</vt:lpstr>
    </vt:vector>
  </TitlesOfParts>
  <Company>Windwards Bananas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Trelford Douglas</dc:creator>
  <cp:lastModifiedBy>Ideal</cp:lastModifiedBy>
  <cp:lastPrinted>2021-04-29T19:12:08Z</cp:lastPrinted>
  <dcterms:created xsi:type="dcterms:W3CDTF">2006-01-18T09:00:52Z</dcterms:created>
  <dcterms:modified xsi:type="dcterms:W3CDTF">2021-04-29T19:14:15Z</dcterms:modified>
</cp:coreProperties>
</file>